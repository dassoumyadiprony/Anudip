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_FOUNDATION\"/>
    </mc:Choice>
  </mc:AlternateContent>
  <xr:revisionPtr revIDLastSave="0" documentId="13_ncr:1_{55A2A8C1-66C7-4072-ADA2-C50A870A778F}" xr6:coauthVersionLast="47" xr6:coauthVersionMax="47" xr10:uidLastSave="{00000000-0000-0000-0000-000000000000}"/>
  <bookViews>
    <workbookView xWindow="-110" yWindow="-110" windowWidth="19420" windowHeight="11020" xr2:uid="{C03A19C9-0291-4C8E-AB65-1308473D01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  <c r="M19" i="1"/>
  <c r="M20" i="1"/>
  <c r="M21" i="1"/>
  <c r="M22" i="1"/>
  <c r="M17" i="1"/>
  <c r="I18" i="1"/>
  <c r="I19" i="1"/>
  <c r="I20" i="1"/>
  <c r="I21" i="1"/>
  <c r="I22" i="1"/>
  <c r="I17" i="1"/>
  <c r="H18" i="1"/>
  <c r="H19" i="1"/>
  <c r="H20" i="1"/>
  <c r="H21" i="1"/>
  <c r="H22" i="1"/>
  <c r="H17" i="1"/>
  <c r="L22" i="1"/>
  <c r="K22" i="1"/>
  <c r="J22" i="1"/>
  <c r="G22" i="1"/>
  <c r="F22" i="1"/>
  <c r="L21" i="1"/>
  <c r="K21" i="1"/>
  <c r="J21" i="1"/>
  <c r="G21" i="1"/>
  <c r="F21" i="1"/>
  <c r="L20" i="1"/>
  <c r="K20" i="1"/>
  <c r="J20" i="1"/>
  <c r="G20" i="1"/>
  <c r="F20" i="1"/>
  <c r="L19" i="1"/>
  <c r="K19" i="1"/>
  <c r="J19" i="1"/>
  <c r="G19" i="1"/>
  <c r="F19" i="1"/>
  <c r="L18" i="1"/>
  <c r="K18" i="1"/>
  <c r="J18" i="1"/>
  <c r="G18" i="1"/>
  <c r="F18" i="1"/>
  <c r="L17" i="1"/>
  <c r="K17" i="1"/>
  <c r="J17" i="1"/>
  <c r="G17" i="1"/>
  <c r="F17" i="1"/>
</calcChain>
</file>

<file path=xl/sharedStrings.xml><?xml version="1.0" encoding="utf-8"?>
<sst xmlns="http://schemas.openxmlformats.org/spreadsheetml/2006/main" count="35" uniqueCount="33">
  <si>
    <t>Name: Soumyadip Das (ID:AF05102864)</t>
  </si>
  <si>
    <t>LAB-2</t>
  </si>
  <si>
    <t>1. Use the IF function to evaluate whether each product met its sales target.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</si>
  <si>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</si>
  <si>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</si>
  <si>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</si>
  <si>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</si>
  <si>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</si>
  <si>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</si>
  <si>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</si>
  <si>
    <t>ProductID</t>
  </si>
  <si>
    <t>Product</t>
  </si>
  <si>
    <t>Sales</t>
  </si>
  <si>
    <t>Target</t>
  </si>
  <si>
    <t>Region</t>
  </si>
  <si>
    <t>Target Met</t>
  </si>
  <si>
    <t>Regional Bonus</t>
  </si>
  <si>
    <t>Commission Rate (%)</t>
  </si>
  <si>
    <t>Bonus Amount</t>
  </si>
  <si>
    <t>Performance</t>
  </si>
  <si>
    <t>Price Tier</t>
  </si>
  <si>
    <t>Year-End Bonus</t>
  </si>
  <si>
    <t>High Performer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</si>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</sst>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6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5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9" fontId="5" fillId="6" borderId="1" xfId="0" applyNumberFormat="1" applyFont="1" applyFill="1" applyBorder="1"/>
    <xf numFmtId="0" fontId="5" fillId="8" borderId="1" xfId="0" applyFont="1" applyFill="1" applyBorder="1"/>
    <xf numFmtId="0" fontId="5" fillId="7" borderId="1" xfId="0" applyFont="1" applyFill="1" applyBorder="1"/>
    <xf numFmtId="0" fontId="5" fillId="9" borderId="1" xfId="0" applyFont="1" applyFill="1" applyBorder="1"/>
    <xf numFmtId="0" fontId="5" fillId="10" borderId="1" xfId="0" applyFont="1" applyFill="1" applyBorder="1"/>
    <xf numFmtId="0" fontId="4" fillId="0" borderId="0" xfId="0" applyFont="1"/>
    <xf numFmtId="0" fontId="5" fillId="11" borderId="1" xfId="0" applyFont="1" applyFill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849FD-B3C0-431F-8006-1F40201B5E2D}">
  <dimension ref="A1:X22"/>
  <sheetViews>
    <sheetView tabSelected="1" topLeftCell="D9" workbookViewId="0">
      <selection activeCell="M25" sqref="M25"/>
    </sheetView>
  </sheetViews>
  <sheetFormatPr defaultRowHeight="14.5" x14ac:dyDescent="0.35"/>
  <cols>
    <col min="1" max="1" width="9.7265625" customWidth="1"/>
    <col min="2" max="2" width="9.54296875" customWidth="1"/>
    <col min="3" max="3" width="9.453125" customWidth="1"/>
    <col min="4" max="5" width="9.90625" customWidth="1"/>
    <col min="6" max="6" width="14.08984375" customWidth="1"/>
    <col min="7" max="7" width="16.1796875" customWidth="1"/>
    <col min="8" max="8" width="20" customWidth="1"/>
    <col min="9" max="9" width="15.54296875" customWidth="1"/>
    <col min="10" max="10" width="20.81640625" customWidth="1"/>
    <col min="11" max="11" width="17.54296875" customWidth="1"/>
    <col min="12" max="12" width="16.36328125" customWidth="1"/>
    <col min="13" max="13" width="16.08984375" customWidth="1"/>
  </cols>
  <sheetData>
    <row r="1" spans="1:24" ht="21" x14ac:dyDescent="0.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24" ht="20" x14ac:dyDescent="0.4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24" ht="15.5" x14ac:dyDescent="0.35">
      <c r="A3" s="1"/>
      <c r="B3" s="1"/>
      <c r="C3" s="1"/>
      <c r="D3" s="1"/>
      <c r="E3" s="1"/>
    </row>
    <row r="4" spans="1:24" ht="15.5" x14ac:dyDescent="0.35">
      <c r="A4" s="1"/>
      <c r="B4" s="1"/>
      <c r="C4" s="1"/>
      <c r="D4" s="1"/>
      <c r="E4" s="1"/>
    </row>
    <row r="5" spans="1:24" ht="18.5" x14ac:dyDescent="0.45">
      <c r="A5" s="14" t="s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24" ht="18.5" x14ac:dyDescent="0.45">
      <c r="A6" s="14" t="s">
        <v>3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24" ht="18.5" x14ac:dyDescent="0.45">
      <c r="A7" s="12" t="s">
        <v>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24" ht="18.5" x14ac:dyDescent="0.45">
      <c r="A8" s="14" t="s">
        <v>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  <row r="9" spans="1:24" ht="18.5" x14ac:dyDescent="0.45">
      <c r="A9" s="14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24" ht="18.5" x14ac:dyDescent="0.45">
      <c r="A10" s="14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24" ht="18.5" x14ac:dyDescent="0.45">
      <c r="A11" s="14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24" ht="18.5" x14ac:dyDescent="0.45">
      <c r="A12" s="14" t="s">
        <v>9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6" spans="1:24" ht="15.5" x14ac:dyDescent="0.35">
      <c r="A16" s="2" t="s">
        <v>10</v>
      </c>
      <c r="B16" s="2" t="s">
        <v>11</v>
      </c>
      <c r="C16" s="2" t="s">
        <v>12</v>
      </c>
      <c r="D16" s="2" t="s">
        <v>13</v>
      </c>
      <c r="E16" s="2" t="s">
        <v>14</v>
      </c>
      <c r="F16" s="2" t="s">
        <v>15</v>
      </c>
      <c r="G16" s="2" t="s">
        <v>16</v>
      </c>
      <c r="H16" s="2" t="s">
        <v>17</v>
      </c>
      <c r="I16" s="2" t="s">
        <v>18</v>
      </c>
      <c r="J16" s="2" t="s">
        <v>19</v>
      </c>
      <c r="K16" s="2" t="s">
        <v>20</v>
      </c>
      <c r="L16" s="2" t="s">
        <v>21</v>
      </c>
      <c r="M16" s="2" t="s">
        <v>22</v>
      </c>
    </row>
    <row r="17" spans="1:13" ht="15.5" x14ac:dyDescent="0.35">
      <c r="A17" s="3">
        <v>101</v>
      </c>
      <c r="B17" s="4" t="s">
        <v>23</v>
      </c>
      <c r="C17" s="4">
        <v>120</v>
      </c>
      <c r="D17" s="4">
        <v>150</v>
      </c>
      <c r="E17" s="4" t="s">
        <v>24</v>
      </c>
      <c r="F17" s="5" t="str">
        <f t="shared" ref="F17:F22" si="0">IF(C17&gt;=D17,"Yes","No")</f>
        <v>No</v>
      </c>
      <c r="G17" s="6" t="str">
        <f t="shared" ref="G17:G22" si="1">IF(AND(E17="North",C17&gt;200),"Eligible","Not Eligible")</f>
        <v>Not Eligible</v>
      </c>
      <c r="H17" s="7">
        <f>IF(C17&gt;=200,10%,IF(C17&gt;=150,7%,5%))</f>
        <v>0.05</v>
      </c>
      <c r="I17" s="8">
        <f>IF(C17&gt;=D17,C17*10%,C17*5%)</f>
        <v>6</v>
      </c>
      <c r="J17" s="9" t="str">
        <f t="shared" ref="J17:J22" si="2">IF(C17&gt;=200,"Excellent",IF(C17&gt;=150,"Good","Needs Improvement"))</f>
        <v>Needs Improvement</v>
      </c>
      <c r="K17" s="10" t="str">
        <f t="shared" ref="K17:K22" si="3">IF(C17&gt;200,"High",IF(C17&gt;=100,"Medium","Low"))</f>
        <v>Medium</v>
      </c>
      <c r="L17" s="11">
        <f t="shared" ref="L17:L22" si="4">IF(AND(C17&gt;=150,E17="North"),500,300)</f>
        <v>300</v>
      </c>
      <c r="M17" s="13" t="str">
        <f>IF(C17&gt;=PERCENTILE($C$17:$C$22,75%),"High Performer","Normal")</f>
        <v>Normal</v>
      </c>
    </row>
    <row r="18" spans="1:13" ht="15.5" x14ac:dyDescent="0.35">
      <c r="A18" s="3">
        <v>102</v>
      </c>
      <c r="B18" s="4" t="s">
        <v>25</v>
      </c>
      <c r="C18" s="4">
        <v>150</v>
      </c>
      <c r="D18" s="4">
        <v>140</v>
      </c>
      <c r="E18" s="4" t="s">
        <v>26</v>
      </c>
      <c r="F18" s="5" t="str">
        <f t="shared" si="0"/>
        <v>Yes</v>
      </c>
      <c r="G18" s="6" t="str">
        <f t="shared" si="1"/>
        <v>Not Eligible</v>
      </c>
      <c r="H18" s="7">
        <f t="shared" ref="H18:H22" si="5">IF(C18&gt;=200,10%,IF(C18&gt;=150,7%,5%))</f>
        <v>7.0000000000000007E-2</v>
      </c>
      <c r="I18" s="8">
        <f t="shared" ref="I18:I22" si="6">IF(C18&gt;=D18,C18*10%,C18*5%)</f>
        <v>15</v>
      </c>
      <c r="J18" s="9" t="str">
        <f t="shared" si="2"/>
        <v>Good</v>
      </c>
      <c r="K18" s="10" t="str">
        <f t="shared" si="3"/>
        <v>Medium</v>
      </c>
      <c r="L18" s="11">
        <f t="shared" si="4"/>
        <v>300</v>
      </c>
      <c r="M18" s="13" t="str">
        <f t="shared" ref="M18:M22" si="7">IF(C18&gt;=PERCENTILE($C$17:$C$22,75%),"High Performer","Normal")</f>
        <v>Normal</v>
      </c>
    </row>
    <row r="19" spans="1:13" ht="15.5" x14ac:dyDescent="0.35">
      <c r="A19" s="3">
        <v>103</v>
      </c>
      <c r="B19" s="4" t="s">
        <v>27</v>
      </c>
      <c r="C19" s="4">
        <v>200</v>
      </c>
      <c r="D19" s="4">
        <v>200</v>
      </c>
      <c r="E19" s="4" t="s">
        <v>28</v>
      </c>
      <c r="F19" s="5" t="str">
        <f t="shared" si="0"/>
        <v>Yes</v>
      </c>
      <c r="G19" s="6" t="str">
        <f t="shared" si="1"/>
        <v>Not Eligible</v>
      </c>
      <c r="H19" s="7">
        <f t="shared" si="5"/>
        <v>0.1</v>
      </c>
      <c r="I19" s="8">
        <f t="shared" si="6"/>
        <v>20</v>
      </c>
      <c r="J19" s="9" t="str">
        <f t="shared" si="2"/>
        <v>Excellent</v>
      </c>
      <c r="K19" s="10" t="str">
        <f t="shared" si="3"/>
        <v>Medium</v>
      </c>
      <c r="L19" s="11">
        <f t="shared" si="4"/>
        <v>300</v>
      </c>
      <c r="M19" s="13" t="str">
        <f t="shared" si="7"/>
        <v>High Performer</v>
      </c>
    </row>
    <row r="20" spans="1:13" ht="15.5" x14ac:dyDescent="0.35">
      <c r="A20" s="3">
        <v>104</v>
      </c>
      <c r="B20" s="4" t="s">
        <v>29</v>
      </c>
      <c r="C20" s="4">
        <v>90</v>
      </c>
      <c r="D20" s="4">
        <v>100</v>
      </c>
      <c r="E20" s="4" t="s">
        <v>30</v>
      </c>
      <c r="F20" s="5" t="str">
        <f t="shared" si="0"/>
        <v>No</v>
      </c>
      <c r="G20" s="6" t="str">
        <f t="shared" si="1"/>
        <v>Not Eligible</v>
      </c>
      <c r="H20" s="7">
        <f t="shared" si="5"/>
        <v>0.05</v>
      </c>
      <c r="I20" s="8">
        <f t="shared" si="6"/>
        <v>4.5</v>
      </c>
      <c r="J20" s="9" t="str">
        <f t="shared" si="2"/>
        <v>Needs Improvement</v>
      </c>
      <c r="K20" s="10" t="str">
        <f t="shared" si="3"/>
        <v>Low</v>
      </c>
      <c r="L20" s="11">
        <f t="shared" si="4"/>
        <v>300</v>
      </c>
      <c r="M20" s="13" t="str">
        <f t="shared" si="7"/>
        <v>Normal</v>
      </c>
    </row>
    <row r="21" spans="1:13" ht="15.5" x14ac:dyDescent="0.35">
      <c r="A21" s="3">
        <v>105</v>
      </c>
      <c r="B21" s="4" t="s">
        <v>31</v>
      </c>
      <c r="C21" s="4">
        <v>220</v>
      </c>
      <c r="D21" s="4">
        <v>210</v>
      </c>
      <c r="E21" s="4" t="s">
        <v>24</v>
      </c>
      <c r="F21" s="5" t="str">
        <f t="shared" si="0"/>
        <v>Yes</v>
      </c>
      <c r="G21" s="6" t="str">
        <f t="shared" si="1"/>
        <v>Eligible</v>
      </c>
      <c r="H21" s="7">
        <f t="shared" si="5"/>
        <v>0.1</v>
      </c>
      <c r="I21" s="8">
        <f t="shared" si="6"/>
        <v>22</v>
      </c>
      <c r="J21" s="9" t="str">
        <f t="shared" si="2"/>
        <v>Excellent</v>
      </c>
      <c r="K21" s="10" t="str">
        <f t="shared" si="3"/>
        <v>High</v>
      </c>
      <c r="L21" s="11">
        <f t="shared" si="4"/>
        <v>500</v>
      </c>
      <c r="M21" s="13" t="str">
        <f t="shared" si="7"/>
        <v>High Performer</v>
      </c>
    </row>
    <row r="22" spans="1:13" ht="15.5" x14ac:dyDescent="0.35">
      <c r="A22" s="3">
        <v>106</v>
      </c>
      <c r="B22" s="4" t="s">
        <v>32</v>
      </c>
      <c r="C22" s="4">
        <v>130</v>
      </c>
      <c r="D22" s="4">
        <v>160</v>
      </c>
      <c r="E22" s="4" t="s">
        <v>26</v>
      </c>
      <c r="F22" s="5" t="str">
        <f t="shared" si="0"/>
        <v>No</v>
      </c>
      <c r="G22" s="6" t="str">
        <f t="shared" si="1"/>
        <v>Not Eligible</v>
      </c>
      <c r="H22" s="7">
        <f t="shared" si="5"/>
        <v>0.05</v>
      </c>
      <c r="I22" s="8">
        <f t="shared" si="6"/>
        <v>6.5</v>
      </c>
      <c r="J22" s="9" t="str">
        <f t="shared" si="2"/>
        <v>Needs Improvement</v>
      </c>
      <c r="K22" s="10" t="str">
        <f t="shared" si="3"/>
        <v>Medium</v>
      </c>
      <c r="L22" s="11">
        <f t="shared" si="4"/>
        <v>300</v>
      </c>
      <c r="M22" s="13" t="str">
        <f t="shared" si="7"/>
        <v>Normal</v>
      </c>
    </row>
  </sheetData>
  <mergeCells count="9">
    <mergeCell ref="A9:S9"/>
    <mergeCell ref="A10:S10"/>
    <mergeCell ref="A11:S11"/>
    <mergeCell ref="A12:S12"/>
    <mergeCell ref="A1:L1"/>
    <mergeCell ref="A2:L2"/>
    <mergeCell ref="A5:S5"/>
    <mergeCell ref="A6:S6"/>
    <mergeCell ref="A8:X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2026-02-24T06:10:39Z</dcterms:created>
  <dcterms:modified xsi:type="dcterms:W3CDTF">2026-02-25T06:44:46Z</dcterms:modified>
</cp:coreProperties>
</file>