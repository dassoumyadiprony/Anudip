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186" documentId="8_{D2A60834-3ADA-43C4-B735-3B0DE101A6DB}" xr6:coauthVersionLast="47" xr6:coauthVersionMax="47" xr10:uidLastSave="{E2185FD0-33AF-4EB7-B4FA-E4710E84686C}"/>
  <bookViews>
    <workbookView xWindow="-110" yWindow="-110" windowWidth="19420" windowHeight="11020" xr2:uid="{AB502B50-D0C1-45D9-908E-30221CDF1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B27" i="1"/>
  <c r="B24" i="1"/>
  <c r="B21" i="1"/>
  <c r="B18" i="1"/>
  <c r="B15" i="1"/>
  <c r="B12" i="1"/>
  <c r="C9" i="1"/>
</calcChain>
</file>

<file path=xl/sharedStrings.xml><?xml version="1.0" encoding="utf-8"?>
<sst xmlns="http://schemas.openxmlformats.org/spreadsheetml/2006/main" count="63" uniqueCount="42">
  <si>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</si>
  <si>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</si>
  <si>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</si>
  <si>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</si>
  <si>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</si>
  <si>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</si>
  <si>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</si>
  <si>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</si>
  <si>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</si>
  <si>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</si>
  <si>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</si>
  <si>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</si>
  <si>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</si>
  <si>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</si>
  <si>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</si>
  <si>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</si>
  <si>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</si>
  <si>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Ans.1</t>
  </si>
  <si>
    <t>Ans.2</t>
  </si>
  <si>
    <t>Ans.3</t>
  </si>
  <si>
    <t>Max Sales</t>
  </si>
  <si>
    <t>Ans.4</t>
  </si>
  <si>
    <t>Max Sales Month</t>
  </si>
  <si>
    <t>Ans.5</t>
  </si>
  <si>
    <t>Total April Sales</t>
  </si>
  <si>
    <t>Ans.6</t>
  </si>
  <si>
    <t>Avg Sales</t>
  </si>
  <si>
    <t>Ans.7</t>
  </si>
  <si>
    <t>Ans.8</t>
  </si>
  <si>
    <t>Month</t>
  </si>
  <si>
    <t>Sales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</si>
  <si>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</si>
  <si>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</si>
  <si>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</si>
  <si>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</si>
  <si>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</si>
  <si>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</si>
  <si>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</si>
  <si>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</si>
  <si>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Name: Soumyadip Das (ID:AF05102864)</t>
  </si>
  <si>
    <t>LAB-8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</si>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</sst>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8DD7"/>
        <bgColor indexed="64"/>
      </patternFill>
    </fill>
    <fill>
      <patternFill patternType="solid">
        <fgColor rgb="FFFCE0C4"/>
        <bgColor indexed="64"/>
      </patternFill>
    </fill>
    <fill>
      <patternFill patternType="solid">
        <fgColor rgb="FFAAD0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46A9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8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1" borderId="1" xfId="0" applyFill="1" applyBorder="1"/>
    <xf numFmtId="0" fontId="1" fillId="6" borderId="1" xfId="0" applyFont="1" applyFill="1" applyBorder="1"/>
    <xf numFmtId="0" fontId="0" fillId="12" borderId="1" xfId="0" applyFill="1" applyBorder="1"/>
    <xf numFmtId="0" fontId="1" fillId="9" borderId="1" xfId="0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34DF04C-CCA9-4B3B-836F-9B3677C3C71B}"/>
  </tableStyles>
  <colors>
    <mruColors>
      <color rgb="FF66FFFF"/>
      <color rgb="FFFFCCFF"/>
      <color rgb="FFE46A98"/>
      <color rgb="FFAAD0DA"/>
      <color rgb="FFFCE0C4"/>
      <color rgb="FF96E6EE"/>
      <color rgb="FFFFFFFF"/>
      <color rgb="FFD98D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0669-16F6-4956-B619-52E906FA894B}">
  <dimension ref="A1:S46"/>
  <sheetViews>
    <sheetView tabSelected="1" topLeftCell="A32" workbookViewId="0">
      <selection activeCell="G51" sqref="G51"/>
    </sheetView>
  </sheetViews>
  <sheetFormatPr defaultRowHeight="14.5" x14ac:dyDescent="0.35"/>
  <cols>
    <col min="1" max="1" width="9.6328125" customWidth="1"/>
    <col min="2" max="2" width="10" customWidth="1"/>
    <col min="3" max="3" width="9.7265625" bestFit="1" customWidth="1"/>
    <col min="4" max="4" width="8.1796875" bestFit="1" customWidth="1"/>
    <col min="5" max="5" width="8.453125" bestFit="1" customWidth="1"/>
    <col min="6" max="6" width="8.90625" bestFit="1" customWidth="1"/>
    <col min="7" max="7" width="8.453125" bestFit="1" customWidth="1"/>
    <col min="8" max="8" width="9.08984375" bestFit="1" customWidth="1"/>
  </cols>
  <sheetData>
    <row r="1" spans="1:8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spans="1:8" x14ac:dyDescent="0.35">
      <c r="A2" s="21">
        <v>101</v>
      </c>
      <c r="B2" s="21" t="s">
        <v>8</v>
      </c>
      <c r="C2" s="21" t="s">
        <v>9</v>
      </c>
      <c r="D2" s="21">
        <v>120</v>
      </c>
      <c r="E2" s="21">
        <v>130</v>
      </c>
      <c r="F2" s="21">
        <v>140</v>
      </c>
      <c r="G2" s="21">
        <v>150</v>
      </c>
      <c r="H2" s="21">
        <v>160</v>
      </c>
    </row>
    <row r="3" spans="1:8" x14ac:dyDescent="0.35">
      <c r="A3" s="21">
        <v>102</v>
      </c>
      <c r="B3" s="21" t="s">
        <v>10</v>
      </c>
      <c r="C3" s="21" t="s">
        <v>11</v>
      </c>
      <c r="D3" s="21">
        <v>150</v>
      </c>
      <c r="E3" s="21">
        <v>160</v>
      </c>
      <c r="F3" s="21">
        <v>170</v>
      </c>
      <c r="G3" s="21">
        <v>180</v>
      </c>
      <c r="H3" s="21">
        <v>190</v>
      </c>
    </row>
    <row r="4" spans="1:8" x14ac:dyDescent="0.35">
      <c r="A4" s="21">
        <v>103</v>
      </c>
      <c r="B4" s="21" t="s">
        <v>12</v>
      </c>
      <c r="C4" s="21" t="s">
        <v>9</v>
      </c>
      <c r="D4" s="21">
        <v>200</v>
      </c>
      <c r="E4" s="21">
        <v>210</v>
      </c>
      <c r="F4" s="21">
        <v>220</v>
      </c>
      <c r="G4" s="21">
        <v>230</v>
      </c>
      <c r="H4" s="21">
        <v>240</v>
      </c>
    </row>
    <row r="5" spans="1:8" x14ac:dyDescent="0.35">
      <c r="A5" s="21">
        <v>104</v>
      </c>
      <c r="B5" s="21" t="s">
        <v>13</v>
      </c>
      <c r="C5" s="21" t="s">
        <v>14</v>
      </c>
      <c r="D5" s="21">
        <v>90</v>
      </c>
      <c r="E5" s="21">
        <v>100</v>
      </c>
      <c r="F5" s="21">
        <v>110</v>
      </c>
      <c r="G5" s="21">
        <v>120</v>
      </c>
      <c r="H5" s="21">
        <v>130</v>
      </c>
    </row>
    <row r="6" spans="1:8" x14ac:dyDescent="0.35">
      <c r="A6" s="21">
        <v>105</v>
      </c>
      <c r="B6" s="21" t="s">
        <v>15</v>
      </c>
      <c r="C6" s="21" t="s">
        <v>11</v>
      </c>
      <c r="D6" s="21">
        <v>220</v>
      </c>
      <c r="E6" s="21">
        <v>230</v>
      </c>
      <c r="F6" s="21">
        <v>240</v>
      </c>
      <c r="G6" s="21">
        <v>250</v>
      </c>
      <c r="H6" s="21">
        <v>260</v>
      </c>
    </row>
    <row r="7" spans="1:8" x14ac:dyDescent="0.35">
      <c r="A7" s="21">
        <v>106</v>
      </c>
      <c r="B7" s="21" t="s">
        <v>16</v>
      </c>
      <c r="C7" s="21" t="s">
        <v>9</v>
      </c>
      <c r="D7" s="21">
        <v>130</v>
      </c>
      <c r="E7" s="21">
        <v>140</v>
      </c>
      <c r="F7" s="21">
        <v>150</v>
      </c>
      <c r="G7" s="21">
        <v>160</v>
      </c>
      <c r="H7" s="21">
        <v>170</v>
      </c>
    </row>
    <row r="8" spans="1:8" x14ac:dyDescent="0.35">
      <c r="A8" s="1" t="s">
        <v>17</v>
      </c>
    </row>
    <row r="9" spans="1:8" x14ac:dyDescent="0.35">
      <c r="A9" s="2" t="s">
        <v>12</v>
      </c>
      <c r="B9" s="3" t="s">
        <v>5</v>
      </c>
      <c r="C9" s="2">
        <f>INDEX(D1:H7,MATCH(A9,B1:B7,0),MATCH($B$9,D1:H1,0))</f>
        <v>220</v>
      </c>
    </row>
    <row r="10" spans="1:8" x14ac:dyDescent="0.35">
      <c r="A10" s="1" t="s">
        <v>18</v>
      </c>
    </row>
    <row r="11" spans="1:8" x14ac:dyDescent="0.35">
      <c r="A11" s="5" t="s">
        <v>1</v>
      </c>
      <c r="B11" s="5" t="s">
        <v>2</v>
      </c>
    </row>
    <row r="12" spans="1:8" x14ac:dyDescent="0.35">
      <c r="A12" s="6" t="s">
        <v>15</v>
      </c>
      <c r="B12" s="6" t="str">
        <f>INDEX(C2:C7, MATCH(A12, B2:B7, 0))</f>
        <v>Furniture</v>
      </c>
    </row>
    <row r="13" spans="1:8" x14ac:dyDescent="0.35">
      <c r="A13" s="4" t="s">
        <v>19</v>
      </c>
    </row>
    <row r="14" spans="1:8" x14ac:dyDescent="0.35">
      <c r="A14" s="7" t="s">
        <v>1</v>
      </c>
      <c r="B14" s="7" t="s">
        <v>20</v>
      </c>
    </row>
    <row r="15" spans="1:8" x14ac:dyDescent="0.35">
      <c r="A15" s="8" t="s">
        <v>10</v>
      </c>
      <c r="B15" s="8">
        <f>MAX(INDEX(D2:H7, MATCH(A15, B2:B7, 0), 0))</f>
        <v>190</v>
      </c>
    </row>
    <row r="16" spans="1:8" x14ac:dyDescent="0.35">
      <c r="A16" s="4" t="s">
        <v>21</v>
      </c>
    </row>
    <row r="17" spans="1:4" x14ac:dyDescent="0.35">
      <c r="A17" s="9" t="s">
        <v>1</v>
      </c>
      <c r="B17" s="10" t="s">
        <v>22</v>
      </c>
      <c r="C17" s="10"/>
    </row>
    <row r="18" spans="1:4" x14ac:dyDescent="0.35">
      <c r="A18" s="11" t="s">
        <v>8</v>
      </c>
      <c r="B18" s="12" t="str">
        <f>INDEX(D1:H1, MATCH(MAX(INDEX(D2:H7, MATCH(A18, B2:B7, 0), 0)), INDEX(D2:H7, MATCH(A18, B2:B7, 0), 0), 0))</f>
        <v>May Sales</v>
      </c>
      <c r="C18" s="13"/>
    </row>
    <row r="19" spans="1:4" x14ac:dyDescent="0.35">
      <c r="A19" s="4" t="s">
        <v>23</v>
      </c>
    </row>
    <row r="20" spans="1:4" x14ac:dyDescent="0.35">
      <c r="A20" s="14" t="s">
        <v>2</v>
      </c>
      <c r="B20" s="15" t="s">
        <v>24</v>
      </c>
      <c r="C20" s="15"/>
      <c r="D20" s="15"/>
    </row>
    <row r="21" spans="1:4" x14ac:dyDescent="0.35">
      <c r="A21" s="16" t="s">
        <v>9</v>
      </c>
      <c r="B21" s="17">
        <f>SUMIF(C2:C7, "Electronics", INDEX(D2:H7, 0, MATCH("Apr Sales", D1:H1, 0)))</f>
        <v>540</v>
      </c>
      <c r="C21" s="17"/>
      <c r="D21" s="17"/>
    </row>
    <row r="22" spans="1:4" x14ac:dyDescent="0.35">
      <c r="A22" s="4" t="s">
        <v>25</v>
      </c>
    </row>
    <row r="23" spans="1:4" x14ac:dyDescent="0.35">
      <c r="A23" s="18" t="s">
        <v>1</v>
      </c>
      <c r="B23" s="18" t="s">
        <v>26</v>
      </c>
    </row>
    <row r="24" spans="1:4" x14ac:dyDescent="0.35">
      <c r="A24" s="19" t="s">
        <v>13</v>
      </c>
      <c r="B24" s="19">
        <f>AVERAGE(INDEX(D2:H7, MATCH(A24, B2:B7, 0), 0))</f>
        <v>110</v>
      </c>
    </row>
    <row r="25" spans="1:4" x14ac:dyDescent="0.35">
      <c r="A25" s="4" t="s">
        <v>27</v>
      </c>
    </row>
    <row r="26" spans="1:4" x14ac:dyDescent="0.35">
      <c r="A26" s="22" t="s">
        <v>0</v>
      </c>
      <c r="B26" s="22" t="s">
        <v>7</v>
      </c>
    </row>
    <row r="27" spans="1:4" x14ac:dyDescent="0.35">
      <c r="A27" s="23">
        <v>105</v>
      </c>
      <c r="B27" s="23">
        <f>INDEX(D2:H7, MATCH(A27, A2:A7, 0), MATCH(H1, D1:H1, 0))</f>
        <v>260</v>
      </c>
    </row>
    <row r="28" spans="1:4" x14ac:dyDescent="0.35">
      <c r="A28" s="4" t="s">
        <v>28</v>
      </c>
    </row>
    <row r="29" spans="1:4" x14ac:dyDescent="0.35">
      <c r="A29" s="24" t="s">
        <v>1</v>
      </c>
      <c r="B29" s="24" t="s">
        <v>29</v>
      </c>
      <c r="C29" s="24" t="s">
        <v>30</v>
      </c>
    </row>
    <row r="30" spans="1:4" x14ac:dyDescent="0.35">
      <c r="A30" s="2" t="s">
        <v>15</v>
      </c>
      <c r="B30" s="3" t="s">
        <v>6</v>
      </c>
      <c r="C30" s="2">
        <f>INDEX(D2:H7, MATCH(A30, B2:B7, 0), MATCH(B30, D1:H1, 0))</f>
        <v>250</v>
      </c>
    </row>
    <row r="34" spans="1:19" ht="21" x14ac:dyDescent="0.5">
      <c r="A34" s="26" t="s">
        <v>39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</row>
    <row r="35" spans="1:19" ht="21" x14ac:dyDescent="0.5">
      <c r="A35" s="26" t="s">
        <v>40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</row>
    <row r="38" spans="1:19" ht="18.5" x14ac:dyDescent="0.45">
      <c r="A38" s="27" t="s">
        <v>41</v>
      </c>
    </row>
    <row r="39" spans="1:19" ht="18.5" x14ac:dyDescent="0.45">
      <c r="A39" s="25" t="s">
        <v>31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spans="1:19" ht="18.5" x14ac:dyDescent="0.45">
      <c r="A40" s="25" t="s">
        <v>32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spans="1:19" ht="18.5" x14ac:dyDescent="0.45">
      <c r="A41" s="25" t="s">
        <v>33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19" ht="18.5" x14ac:dyDescent="0.45">
      <c r="A42" s="25" t="s">
        <v>34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1:19" ht="18.5" x14ac:dyDescent="0.45">
      <c r="A43" s="25" t="s">
        <v>35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1:19" ht="18.5" x14ac:dyDescent="0.45">
      <c r="A44" s="25" t="s">
        <v>36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19" ht="18.5" x14ac:dyDescent="0.45">
      <c r="A45" s="25" t="s">
        <v>37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spans="1:19" ht="18.5" x14ac:dyDescent="0.45">
      <c r="A46" s="25" t="s">
        <v>38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</row>
  </sheetData>
  <mergeCells count="14">
    <mergeCell ref="A45:S45"/>
    <mergeCell ref="A46:S46"/>
    <mergeCell ref="A39:S39"/>
    <mergeCell ref="A40:S40"/>
    <mergeCell ref="A41:S41"/>
    <mergeCell ref="A42:S42"/>
    <mergeCell ref="A43:S43"/>
    <mergeCell ref="A44:S44"/>
    <mergeCell ref="B17:C17"/>
    <mergeCell ref="B18:C18"/>
    <mergeCell ref="B20:D20"/>
    <mergeCell ref="B21:D21"/>
    <mergeCell ref="A34:S34"/>
    <mergeCell ref="A35:S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2026-03-12T06:06:24Z</dcterms:created>
  <dcterms:modified xsi:type="dcterms:W3CDTF">2026-03-22T16:11:57Z</dcterms:modified>
</cp:coreProperties>
</file>