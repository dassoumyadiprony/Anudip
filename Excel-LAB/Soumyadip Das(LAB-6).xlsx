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232f5b3d3d3400e/Desktop/"/>
    </mc:Choice>
  </mc:AlternateContent>
  <xr:revisionPtr revIDLastSave="327" documentId="8_{8169BCD6-291D-4B9E-AE0B-B0E499B3EF8B}" xr6:coauthVersionLast="47" xr6:coauthVersionMax="47" xr10:uidLastSave="{653954B7-6881-4C8E-A778-39349BDFD974}"/>
  <bookViews>
    <workbookView xWindow="-110" yWindow="-110" windowWidth="19420" windowHeight="11020" xr2:uid="{D7C831F6-0189-4DD3-A952-9FD1774D589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3" i="1" l="1" a="1"/>
  <c r="B33" i="1" s="1"/>
  <c r="B30" i="1" a="1"/>
  <c r="B30" i="1" s="1"/>
  <c r="B27" i="1" a="1"/>
  <c r="B27" i="1" s="1"/>
  <c r="I2" i="1"/>
  <c r="I3" i="1" s="1"/>
  <c r="I4" i="1" s="1"/>
  <c r="I5" i="1" s="1"/>
  <c r="I6" i="1" s="1"/>
  <c r="I7" i="1" s="1"/>
  <c r="J6" i="1"/>
  <c r="N6" i="1" s="1"/>
  <c r="K6" i="1"/>
  <c r="K7" i="1" s="1"/>
  <c r="L6" i="1"/>
  <c r="L7" i="1" s="1"/>
  <c r="M6" i="1"/>
  <c r="M7" i="1" s="1"/>
  <c r="J5" i="1"/>
  <c r="N5" i="1" s="1"/>
  <c r="K5" i="1"/>
  <c r="L5" i="1"/>
  <c r="M5" i="1"/>
  <c r="J4" i="1"/>
  <c r="N4" i="1" s="1"/>
  <c r="K4" i="1"/>
  <c r="L4" i="1"/>
  <c r="M4" i="1"/>
  <c r="J3" i="1"/>
  <c r="N3" i="1" s="1"/>
  <c r="K3" i="1"/>
  <c r="L3" i="1"/>
  <c r="M3" i="1"/>
  <c r="J2" i="1"/>
  <c r="N2" i="1" s="1"/>
  <c r="K2" i="1"/>
  <c r="L2" i="1"/>
  <c r="M2" i="1"/>
  <c r="F19" i="1"/>
  <c r="F24" i="1" s="1"/>
  <c r="B10" i="1"/>
  <c r="V24" i="1"/>
  <c r="V23" i="1"/>
  <c r="V22" i="1"/>
  <c r="V21" i="1"/>
  <c r="V20" i="1"/>
  <c r="V19" i="1"/>
  <c r="R24" i="1"/>
  <c r="R23" i="1"/>
  <c r="R22" i="1"/>
  <c r="R21" i="1"/>
  <c r="R20" i="1"/>
  <c r="R19" i="1"/>
  <c r="N24" i="1"/>
  <c r="N23" i="1"/>
  <c r="N22" i="1"/>
  <c r="N21" i="1"/>
  <c r="N20" i="1"/>
  <c r="N19" i="1"/>
  <c r="J24" i="1"/>
  <c r="J23" i="1"/>
  <c r="J22" i="1"/>
  <c r="J21" i="1"/>
  <c r="J20" i="1"/>
  <c r="J19" i="1"/>
  <c r="B24" i="1"/>
  <c r="F20" i="1"/>
  <c r="F21" i="1"/>
  <c r="F22" i="1"/>
  <c r="F23" i="1"/>
  <c r="B20" i="1"/>
  <c r="B21" i="1"/>
  <c r="B22" i="1"/>
  <c r="B23" i="1"/>
  <c r="B19" i="1"/>
  <c r="B16" i="1"/>
  <c r="B13" i="1"/>
  <c r="J7" i="1" l="1"/>
  <c r="N7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<sst xmlns="http://schemas.openxmlformats.org/spreadsheetml/2006/main" count="100" uniqueCount="42">
  <si>
    <t>Product A</t>
  </si>
  <si>
    <t>Product B</t>
  </si>
  <si>
    <t>Product C</t>
  </si>
  <si>
    <t>Product D</t>
  </si>
  <si>
    <t>Product E</t>
  </si>
  <si>
    <t>Product F</t>
  </si>
  <si>
    <t>Jan</t>
  </si>
  <si>
    <t>Feb</t>
  </si>
  <si>
    <t>Mar</t>
  </si>
  <si>
    <t>Apr</t>
  </si>
  <si>
    <t>May</t>
  </si>
  <si>
    <t>ANS:1</t>
  </si>
  <si>
    <t>ANS:2</t>
  </si>
  <si>
    <t>May Sales</t>
  </si>
  <si>
    <t>Feb Sales</t>
  </si>
  <si>
    <t>ANS:3</t>
  </si>
  <si>
    <t>ANS:4</t>
  </si>
  <si>
    <t>Month</t>
  </si>
  <si>
    <t>Total Sales</t>
  </si>
  <si>
    <t>ANS:5</t>
  </si>
  <si>
    <t xml:space="preserve">Maximum sales value </t>
  </si>
  <si>
    <t>Product B Sales</t>
  </si>
  <si>
    <t>Product A Sales</t>
  </si>
  <si>
    <t>Product C Sales</t>
  </si>
  <si>
    <t>Product D Sales</t>
  </si>
  <si>
    <t>Product E Sales</t>
  </si>
  <si>
    <t>ANS:6</t>
  </si>
  <si>
    <t>ANS:7</t>
  </si>
  <si>
    <t xml:space="preserve">Minimum sales value </t>
  </si>
  <si>
    <t xml:space="preserve">Average sales value </t>
  </si>
  <si>
    <t>Name: Soumyadip Das (ID:AF05102864)</t>
  </si>
  <si>
    <t>LAB-6</t>
  </si>
  <si>
    <t>1. Use HLOOKUP to find the sales for Product A in March.</t>
  </si>
  <si>
    <t>2. Use HLOOKUP to find the sales for Product D in May.</t>
  </si>
  <si>
    <t>3. Use HLOOKUP to find the sales for Product C in February.</t>
  </si>
  <si>
    <t>4. Use HLOOKUP to find the sales for each month for a product, then calculate the total sales for that product.</t>
  </si>
  <si>
    <t>5. Use HLOOKUP to find the maximum sales value for Product B across all months.</t>
  </si>
  <si>
    <t>6. Use HLOOKUP to find the minimum sales value for Product F across all months.</t>
  </si>
  <si>
    <t>7. Use HLOOKUP to find the average sales value for Product E across all months.</t>
  </si>
  <si>
    <t xml:space="preserve">Mar </t>
  </si>
  <si>
    <t xml:space="preserve">Total </t>
  </si>
  <si>
    <t>Ans:4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</si>
</sst>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rgb="FF66FFCC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2" xfId="0" applyFont="1" applyBorder="1"/>
    <xf numFmtId="0" fontId="1" fillId="0" borderId="3" xfId="0" applyFont="1" applyBorder="1"/>
    <xf numFmtId="0" fontId="1" fillId="0" borderId="0" xfId="0" applyFont="1"/>
    <xf numFmtId="0" fontId="0" fillId="2" borderId="1" xfId="0" applyFill="1" applyBorder="1"/>
    <xf numFmtId="0" fontId="1" fillId="3" borderId="1" xfId="0" applyFont="1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1" fillId="7" borderId="1" xfId="0" applyFont="1" applyFill="1" applyBorder="1"/>
    <xf numFmtId="0" fontId="1" fillId="5" borderId="1" xfId="0" applyFont="1" applyFill="1" applyBorder="1"/>
    <xf numFmtId="0" fontId="1" fillId="8" borderId="1" xfId="0" applyFont="1" applyFill="1" applyBorder="1"/>
    <xf numFmtId="0" fontId="1" fillId="9" borderId="1" xfId="0" applyFont="1" applyFill="1" applyBorder="1"/>
    <xf numFmtId="0" fontId="1" fillId="10" borderId="1" xfId="0" applyFont="1" applyFill="1" applyBorder="1"/>
    <xf numFmtId="0" fontId="1" fillId="11" borderId="1" xfId="0" applyFont="1" applyFill="1" applyBorder="1"/>
    <xf numFmtId="0" fontId="1" fillId="12" borderId="1" xfId="0" applyFont="1" applyFill="1" applyBorder="1"/>
    <xf numFmtId="0" fontId="1" fillId="13" borderId="1" xfId="0" applyFont="1" applyFill="1" applyBorder="1"/>
    <xf numFmtId="0" fontId="1" fillId="14" borderId="1" xfId="0" applyFont="1" applyFill="1" applyBorder="1"/>
    <xf numFmtId="0" fontId="0" fillId="15" borderId="1" xfId="0" applyFill="1" applyBorder="1"/>
    <xf numFmtId="0" fontId="1" fillId="0" borderId="2" xfId="0" applyFont="1" applyBorder="1" applyAlignment="1">
      <alignment horizontal="right"/>
    </xf>
    <xf numFmtId="0" fontId="4" fillId="0" borderId="0" xfId="0" applyFont="1"/>
    <xf numFmtId="0" fontId="0" fillId="7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 wrapText="1"/>
    </xf>
    <xf numFmtId="0" fontId="0" fillId="8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center" wrapText="1"/>
    </xf>
    <xf numFmtId="0" fontId="0" fillId="9" borderId="1" xfId="0" applyFill="1" applyBorder="1" applyAlignment="1">
      <alignment horizontal="center"/>
    </xf>
    <xf numFmtId="0" fontId="3" fillId="0" borderId="0" xfId="0" applyFont="1" applyAlignment="1">
      <alignment horizontal="left"/>
    </xf>
    <xf numFmtId="0" fontId="1" fillId="11" borderId="1" xfId="0" applyFont="1" applyFill="1" applyBorder="1" applyAlignment="1">
      <alignment horizontal="center"/>
    </xf>
    <xf numFmtId="0" fontId="0" fillId="11" borderId="1" xfId="0" applyFill="1" applyBorder="1" applyAlignment="1">
      <alignment horizontal="center" wrapText="1"/>
    </xf>
    <xf numFmtId="0" fontId="0" fillId="11" borderId="1" xfId="0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0" fillId="10" borderId="1" xfId="0" applyFill="1" applyBorder="1" applyAlignment="1">
      <alignment horizontal="center" wrapText="1"/>
    </xf>
    <xf numFmtId="0" fontId="0" fillId="10" borderId="1" xfId="0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1" fillId="13" borderId="1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1" fillId="14" borderId="1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5" xfId="0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0" fontId="2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99FF"/>
      <color rgb="FF66FFC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6664F-31B4-4336-9F41-A3A44961E9D0}">
  <dimension ref="A1:W49"/>
  <sheetViews>
    <sheetView tabSelected="1" topLeftCell="A10" zoomScale="95" workbookViewId="0">
      <selection activeCell="F30" sqref="F30"/>
    </sheetView>
  </sheetViews>
  <sheetFormatPr defaultRowHeight="14.5" x14ac:dyDescent="0.35"/>
  <cols>
    <col min="1" max="1" width="9.54296875" customWidth="1"/>
    <col min="5" max="5" width="10.1796875" customWidth="1"/>
    <col min="9" max="9" width="10" customWidth="1"/>
    <col min="13" max="13" width="10.6328125" customWidth="1"/>
    <col min="17" max="17" width="10" customWidth="1"/>
  </cols>
  <sheetData>
    <row r="1" spans="1:14" x14ac:dyDescent="0.35">
      <c r="A1" s="4"/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20" t="s">
        <v>41</v>
      </c>
      <c r="H1" s="4"/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13" t="s">
        <v>40</v>
      </c>
    </row>
    <row r="2" spans="1:14" x14ac:dyDescent="0.35">
      <c r="A2" s="4" t="s">
        <v>0</v>
      </c>
      <c r="B2" s="6">
        <v>120</v>
      </c>
      <c r="C2" s="6">
        <v>130</v>
      </c>
      <c r="D2" s="6">
        <v>140</v>
      </c>
      <c r="E2" s="6">
        <v>150</v>
      </c>
      <c r="F2" s="6">
        <v>160</v>
      </c>
      <c r="H2" s="4" t="s">
        <v>0</v>
      </c>
      <c r="I2" s="19">
        <f>HLOOKUP(I1,A1:F7,2,0)</f>
        <v>120</v>
      </c>
      <c r="J2" s="19">
        <f t="shared" ref="J2:M2" si="0">HLOOKUP(J1,B1:G7,2,0)</f>
        <v>130</v>
      </c>
      <c r="K2" s="19">
        <f t="shared" si="0"/>
        <v>140</v>
      </c>
      <c r="L2" s="19">
        <f t="shared" si="0"/>
        <v>150</v>
      </c>
      <c r="M2" s="19">
        <f t="shared" si="0"/>
        <v>160</v>
      </c>
      <c r="N2" s="19">
        <f>SUM(I2:M2)</f>
        <v>700</v>
      </c>
    </row>
    <row r="3" spans="1:14" x14ac:dyDescent="0.35">
      <c r="A3" s="4" t="s">
        <v>1</v>
      </c>
      <c r="B3" s="6">
        <v>150</v>
      </c>
      <c r="C3" s="6">
        <v>160</v>
      </c>
      <c r="D3" s="6">
        <v>170</v>
      </c>
      <c r="E3" s="6">
        <v>180</v>
      </c>
      <c r="F3" s="6">
        <v>190</v>
      </c>
      <c r="H3" s="4" t="s">
        <v>1</v>
      </c>
      <c r="I3" s="19">
        <f t="shared" ref="I3:I7" si="1">HLOOKUP(I2,A2:F8,2,0)</f>
        <v>150</v>
      </c>
      <c r="J3" s="19">
        <f t="shared" ref="J3:M3" si="2">HLOOKUP(J1,B1:G7,3,0)</f>
        <v>160</v>
      </c>
      <c r="K3" s="19">
        <f t="shared" si="2"/>
        <v>170</v>
      </c>
      <c r="L3" s="19">
        <f t="shared" si="2"/>
        <v>180</v>
      </c>
      <c r="M3" s="19">
        <f t="shared" si="2"/>
        <v>190</v>
      </c>
      <c r="N3" s="19">
        <f t="shared" ref="N3:N7" si="3">SUM(I3:M3)</f>
        <v>850</v>
      </c>
    </row>
    <row r="4" spans="1:14" x14ac:dyDescent="0.35">
      <c r="A4" s="4" t="s">
        <v>2</v>
      </c>
      <c r="B4" s="6">
        <v>200</v>
      </c>
      <c r="C4" s="6">
        <v>210</v>
      </c>
      <c r="D4" s="6">
        <v>220</v>
      </c>
      <c r="E4" s="6">
        <v>230</v>
      </c>
      <c r="F4" s="6">
        <v>240</v>
      </c>
      <c r="H4" s="4" t="s">
        <v>2</v>
      </c>
      <c r="I4" s="19">
        <f t="shared" si="1"/>
        <v>200</v>
      </c>
      <c r="J4" s="19">
        <f t="shared" ref="J4:M4" si="4">HLOOKUP(J1,B1:G7,4,0)</f>
        <v>210</v>
      </c>
      <c r="K4" s="19">
        <f t="shared" si="4"/>
        <v>220</v>
      </c>
      <c r="L4" s="19">
        <f t="shared" si="4"/>
        <v>230</v>
      </c>
      <c r="M4" s="19">
        <f t="shared" si="4"/>
        <v>240</v>
      </c>
      <c r="N4" s="19">
        <f t="shared" si="3"/>
        <v>1100</v>
      </c>
    </row>
    <row r="5" spans="1:14" x14ac:dyDescent="0.35">
      <c r="A5" s="4" t="s">
        <v>3</v>
      </c>
      <c r="B5" s="6">
        <v>90</v>
      </c>
      <c r="C5" s="6">
        <v>100</v>
      </c>
      <c r="D5" s="6">
        <v>110</v>
      </c>
      <c r="E5" s="6">
        <v>120</v>
      </c>
      <c r="F5" s="6">
        <v>130</v>
      </c>
      <c r="H5" s="4" t="s">
        <v>3</v>
      </c>
      <c r="I5" s="19">
        <f t="shared" si="1"/>
        <v>90</v>
      </c>
      <c r="J5" s="19">
        <f t="shared" ref="J5:M5" si="5">HLOOKUP(J1,B1:G7,5,0)</f>
        <v>100</v>
      </c>
      <c r="K5" s="19">
        <f t="shared" si="5"/>
        <v>110</v>
      </c>
      <c r="L5" s="19">
        <f t="shared" si="5"/>
        <v>120</v>
      </c>
      <c r="M5" s="19">
        <f t="shared" si="5"/>
        <v>130</v>
      </c>
      <c r="N5" s="19">
        <f t="shared" si="3"/>
        <v>550</v>
      </c>
    </row>
    <row r="6" spans="1:14" x14ac:dyDescent="0.35">
      <c r="A6" s="4" t="s">
        <v>4</v>
      </c>
      <c r="B6" s="6">
        <v>220</v>
      </c>
      <c r="C6" s="6">
        <v>230</v>
      </c>
      <c r="D6" s="6">
        <v>240</v>
      </c>
      <c r="E6" s="6">
        <v>250</v>
      </c>
      <c r="F6" s="6">
        <v>260</v>
      </c>
      <c r="H6" s="4" t="s">
        <v>4</v>
      </c>
      <c r="I6" s="19">
        <f t="shared" si="1"/>
        <v>220</v>
      </c>
      <c r="J6" s="19">
        <f t="shared" ref="J6:M6" si="6">HLOOKUP(J1,B1:G7,6,0)</f>
        <v>230</v>
      </c>
      <c r="K6" s="19">
        <f t="shared" si="6"/>
        <v>240</v>
      </c>
      <c r="L6" s="19">
        <f t="shared" si="6"/>
        <v>250</v>
      </c>
      <c r="M6" s="19">
        <f t="shared" si="6"/>
        <v>260</v>
      </c>
      <c r="N6" s="19">
        <f t="shared" si="3"/>
        <v>1200</v>
      </c>
    </row>
    <row r="7" spans="1:14" x14ac:dyDescent="0.35">
      <c r="A7" s="4" t="s">
        <v>5</v>
      </c>
      <c r="B7" s="6">
        <v>130</v>
      </c>
      <c r="C7" s="6">
        <v>140</v>
      </c>
      <c r="D7" s="6">
        <v>150</v>
      </c>
      <c r="E7" s="6">
        <v>160</v>
      </c>
      <c r="F7" s="6">
        <v>170</v>
      </c>
      <c r="H7" s="4" t="s">
        <v>5</v>
      </c>
      <c r="I7" s="19">
        <f t="shared" si="1"/>
        <v>130</v>
      </c>
      <c r="J7" s="19">
        <f t="shared" ref="J7" si="7">HLOOKUP(J6,B6:G12,2,0)</f>
        <v>140</v>
      </c>
      <c r="K7" s="19">
        <f t="shared" ref="K7" si="8">HLOOKUP(K6,C6:H12,2,0)</f>
        <v>150</v>
      </c>
      <c r="L7" s="19">
        <f t="shared" ref="L7" si="9">HLOOKUP(L6,D6:I12,2,0)</f>
        <v>160</v>
      </c>
      <c r="M7" s="19">
        <f t="shared" ref="M7" si="10">HLOOKUP(M6,E6:J12,2,0)</f>
        <v>170</v>
      </c>
      <c r="N7" s="19">
        <f t="shared" si="3"/>
        <v>750</v>
      </c>
    </row>
    <row r="8" spans="1:14" x14ac:dyDescent="0.35">
      <c r="A8" s="1" t="s">
        <v>11</v>
      </c>
    </row>
    <row r="9" spans="1:14" x14ac:dyDescent="0.35">
      <c r="A9" s="23" t="s">
        <v>39</v>
      </c>
      <c r="B9" s="23"/>
    </row>
    <row r="10" spans="1:14" x14ac:dyDescent="0.35">
      <c r="A10" s="7" t="s">
        <v>0</v>
      </c>
      <c r="B10" s="7">
        <f>HLOOKUP("Mar",A1:F7,2,0)</f>
        <v>140</v>
      </c>
    </row>
    <row r="11" spans="1:14" x14ac:dyDescent="0.35">
      <c r="A11" s="2" t="s">
        <v>12</v>
      </c>
    </row>
    <row r="12" spans="1:14" x14ac:dyDescent="0.35">
      <c r="A12" s="24" t="s">
        <v>13</v>
      </c>
      <c r="B12" s="24"/>
    </row>
    <row r="13" spans="1:14" x14ac:dyDescent="0.35">
      <c r="A13" s="8" t="s">
        <v>3</v>
      </c>
      <c r="B13" s="8">
        <f>HLOOKUP("May",A1:F7,5,0)</f>
        <v>130</v>
      </c>
    </row>
    <row r="14" spans="1:14" x14ac:dyDescent="0.35">
      <c r="A14" s="2" t="s">
        <v>15</v>
      </c>
    </row>
    <row r="15" spans="1:14" x14ac:dyDescent="0.35">
      <c r="A15" s="25" t="s">
        <v>14</v>
      </c>
      <c r="B15" s="25"/>
    </row>
    <row r="16" spans="1:14" x14ac:dyDescent="0.35">
      <c r="A16" s="9" t="s">
        <v>2</v>
      </c>
      <c r="B16" s="9">
        <f>HLOOKUP("Feb",A1:F7,4,0)</f>
        <v>210</v>
      </c>
    </row>
    <row r="17" spans="1:23" x14ac:dyDescent="0.35">
      <c r="A17" s="2" t="s">
        <v>16</v>
      </c>
    </row>
    <row r="18" spans="1:23" x14ac:dyDescent="0.35">
      <c r="A18" s="10" t="s">
        <v>17</v>
      </c>
      <c r="B18" s="26" t="s">
        <v>21</v>
      </c>
      <c r="C18" s="26"/>
      <c r="E18" s="11" t="s">
        <v>17</v>
      </c>
      <c r="F18" s="24" t="s">
        <v>22</v>
      </c>
      <c r="G18" s="24"/>
      <c r="I18" s="12" t="s">
        <v>17</v>
      </c>
      <c r="J18" s="32" t="s">
        <v>23</v>
      </c>
      <c r="K18" s="32"/>
      <c r="M18" s="13" t="s">
        <v>17</v>
      </c>
      <c r="N18" s="42" t="s">
        <v>24</v>
      </c>
      <c r="O18" s="42"/>
      <c r="Q18" s="14" t="s">
        <v>17</v>
      </c>
      <c r="R18" s="39" t="s">
        <v>25</v>
      </c>
      <c r="S18" s="39"/>
      <c r="U18" s="15" t="s">
        <v>17</v>
      </c>
      <c r="V18" s="36" t="s">
        <v>25</v>
      </c>
      <c r="W18" s="36"/>
    </row>
    <row r="19" spans="1:23" x14ac:dyDescent="0.35">
      <c r="A19" s="10" t="s">
        <v>6</v>
      </c>
      <c r="B19" s="22">
        <f>HLOOKUP("Jan",A1:F7,3,0)</f>
        <v>150</v>
      </c>
      <c r="C19" s="22"/>
      <c r="E19" s="11" t="s">
        <v>6</v>
      </c>
      <c r="F19" s="29">
        <f>HLOOKUP("Jan",A1:F7,2,FALSE)</f>
        <v>120</v>
      </c>
      <c r="G19" s="29"/>
      <c r="I19" s="12" t="s">
        <v>6</v>
      </c>
      <c r="J19" s="27">
        <f>HLOOKUP("Jan",A1:F7,4,FALSE)</f>
        <v>200</v>
      </c>
      <c r="K19" s="28"/>
      <c r="M19" s="13" t="s">
        <v>6</v>
      </c>
      <c r="N19" s="33">
        <f>HLOOKUP("Jan",A1:F7,5,FALSE)</f>
        <v>90</v>
      </c>
      <c r="O19" s="34"/>
      <c r="Q19" s="14" t="s">
        <v>6</v>
      </c>
      <c r="R19" s="40">
        <f>HLOOKUP("Jan",A1:F7,6,FALSE)</f>
        <v>220</v>
      </c>
      <c r="S19" s="41"/>
      <c r="U19" s="15" t="s">
        <v>6</v>
      </c>
      <c r="V19" s="37">
        <f>HLOOKUP("Jan",A1:F7,7,FALSE)</f>
        <v>130</v>
      </c>
      <c r="W19" s="38"/>
    </row>
    <row r="20" spans="1:23" x14ac:dyDescent="0.35">
      <c r="A20" s="10" t="s">
        <v>7</v>
      </c>
      <c r="B20" s="22">
        <f>HLOOKUP("Feb",A1:F7,3,0)</f>
        <v>160</v>
      </c>
      <c r="C20" s="22"/>
      <c r="E20" s="11" t="s">
        <v>7</v>
      </c>
      <c r="F20" s="30">
        <f>HLOOKUP("Feb",A1:F7,2,FALSE)</f>
        <v>130</v>
      </c>
      <c r="G20" s="31"/>
      <c r="I20" s="12" t="s">
        <v>7</v>
      </c>
      <c r="J20" s="27">
        <f>HLOOKUP("Feb",A1:F7,4,FALSE)</f>
        <v>210</v>
      </c>
      <c r="K20" s="28"/>
      <c r="M20" s="13" t="s">
        <v>7</v>
      </c>
      <c r="N20" s="33">
        <f>HLOOKUP("Feb",A1:F7,5,FALSE)</f>
        <v>100</v>
      </c>
      <c r="O20" s="34"/>
      <c r="Q20" s="14" t="s">
        <v>7</v>
      </c>
      <c r="R20" s="40">
        <f>HLOOKUP("Feb",A1:F7,6,FALSE)</f>
        <v>230</v>
      </c>
      <c r="S20" s="41"/>
      <c r="U20" s="15" t="s">
        <v>7</v>
      </c>
      <c r="V20" s="37">
        <f>HLOOKUP("Feb",A1:F7,7,FALSE)</f>
        <v>140</v>
      </c>
      <c r="W20" s="38"/>
    </row>
    <row r="21" spans="1:23" x14ac:dyDescent="0.35">
      <c r="A21" s="10" t="s">
        <v>8</v>
      </c>
      <c r="B21" s="22">
        <f>HLOOKUP("Mar",A1:F7,3,0)</f>
        <v>170</v>
      </c>
      <c r="C21" s="22"/>
      <c r="E21" s="11" t="s">
        <v>8</v>
      </c>
      <c r="F21" s="30">
        <f>HLOOKUP("Mar",A1:F7,2,FALSE)</f>
        <v>140</v>
      </c>
      <c r="G21" s="31"/>
      <c r="I21" s="12" t="s">
        <v>8</v>
      </c>
      <c r="J21" s="27">
        <f>HLOOKUP("Mar",A1:F7,4,FALSE)</f>
        <v>220</v>
      </c>
      <c r="K21" s="28"/>
      <c r="M21" s="13" t="s">
        <v>8</v>
      </c>
      <c r="N21" s="33">
        <f>HLOOKUP("Mar",A1:F7,5,FALSE)</f>
        <v>110</v>
      </c>
      <c r="O21" s="34"/>
      <c r="Q21" s="14" t="s">
        <v>8</v>
      </c>
      <c r="R21" s="40">
        <f>HLOOKUP("Mar",A1:F7,6,FALSE)</f>
        <v>240</v>
      </c>
      <c r="S21" s="41"/>
      <c r="U21" s="15" t="s">
        <v>8</v>
      </c>
      <c r="V21" s="37">
        <f>HLOOKUP("Mar",A1:F7,7,FALSE)</f>
        <v>150</v>
      </c>
      <c r="W21" s="38"/>
    </row>
    <row r="22" spans="1:23" x14ac:dyDescent="0.35">
      <c r="A22" s="10" t="s">
        <v>9</v>
      </c>
      <c r="B22" s="22">
        <f>HLOOKUP("Apr",A1:F7,3,0)</f>
        <v>180</v>
      </c>
      <c r="C22" s="22"/>
      <c r="E22" s="11" t="s">
        <v>9</v>
      </c>
      <c r="F22" s="30">
        <f>HLOOKUP("Apr",A1:F7,2,FALSE)</f>
        <v>150</v>
      </c>
      <c r="G22" s="31"/>
      <c r="I22" s="12" t="s">
        <v>9</v>
      </c>
      <c r="J22" s="27">
        <f>HLOOKUP("Apr",A1:F7,4,FALSE)</f>
        <v>230</v>
      </c>
      <c r="K22" s="28"/>
      <c r="M22" s="13" t="s">
        <v>9</v>
      </c>
      <c r="N22" s="33">
        <f>HLOOKUP("Apr",A1:F7,5,FALSE)</f>
        <v>120</v>
      </c>
      <c r="O22" s="34"/>
      <c r="Q22" s="14" t="s">
        <v>9</v>
      </c>
      <c r="R22" s="40">
        <f>HLOOKUP("Apr",A1:F7,6,FALSE)</f>
        <v>250</v>
      </c>
      <c r="S22" s="41"/>
      <c r="U22" s="15" t="s">
        <v>9</v>
      </c>
      <c r="V22" s="37">
        <f>HLOOKUP("Apr",A1:F7,7,FALSE)</f>
        <v>160</v>
      </c>
      <c r="W22" s="38"/>
    </row>
    <row r="23" spans="1:23" x14ac:dyDescent="0.35">
      <c r="A23" s="10" t="s">
        <v>10</v>
      </c>
      <c r="B23" s="22">
        <f>HLOOKUP("May",A1:F7,3,0)</f>
        <v>190</v>
      </c>
      <c r="C23" s="22"/>
      <c r="E23" s="11" t="s">
        <v>10</v>
      </c>
      <c r="F23" s="30">
        <f>HLOOKUP("May",A1:F7,2,FALSE)</f>
        <v>160</v>
      </c>
      <c r="G23" s="31"/>
      <c r="I23" s="12" t="s">
        <v>10</v>
      </c>
      <c r="J23" s="27">
        <f>HLOOKUP("May",A1:F7,4,FALSE)</f>
        <v>240</v>
      </c>
      <c r="K23" s="28"/>
      <c r="M23" s="13" t="s">
        <v>10</v>
      </c>
      <c r="N23" s="33">
        <f>HLOOKUP("May",A1:F7,5,FALSE)</f>
        <v>130</v>
      </c>
      <c r="O23" s="34"/>
      <c r="Q23" s="14" t="s">
        <v>10</v>
      </c>
      <c r="R23" s="40">
        <f>HLOOKUP("May",A1:F7,6,FALSE)</f>
        <v>260</v>
      </c>
      <c r="S23" s="41"/>
      <c r="U23" s="15" t="s">
        <v>10</v>
      </c>
      <c r="V23" s="37">
        <f>HLOOKUP("May",A1:F7,7,FALSE)</f>
        <v>170</v>
      </c>
      <c r="W23" s="38"/>
    </row>
    <row r="24" spans="1:23" x14ac:dyDescent="0.35">
      <c r="A24" s="10" t="s">
        <v>18</v>
      </c>
      <c r="B24" s="22">
        <f>SUM(B19:B23)</f>
        <v>850</v>
      </c>
      <c r="C24" s="22"/>
      <c r="E24" s="11" t="s">
        <v>18</v>
      </c>
      <c r="F24" s="30">
        <f>SUM(F19:G23)</f>
        <v>700</v>
      </c>
      <c r="G24" s="31"/>
      <c r="I24" s="12" t="s">
        <v>18</v>
      </c>
      <c r="J24" s="27">
        <f>SUM(J19:K23)</f>
        <v>1100</v>
      </c>
      <c r="K24" s="28"/>
      <c r="M24" s="13" t="s">
        <v>18</v>
      </c>
      <c r="N24" s="33">
        <f>SUM(N19:O23)</f>
        <v>550</v>
      </c>
      <c r="O24" s="34"/>
      <c r="Q24" s="14" t="s">
        <v>18</v>
      </c>
      <c r="R24" s="40">
        <f>SUM(R19:S23)</f>
        <v>1200</v>
      </c>
      <c r="S24" s="41"/>
      <c r="U24" s="15" t="s">
        <v>18</v>
      </c>
      <c r="V24" s="37">
        <f>SUM(V19:W23)</f>
        <v>750</v>
      </c>
      <c r="W24" s="38"/>
    </row>
    <row r="25" spans="1:23" x14ac:dyDescent="0.35">
      <c r="A25" s="2" t="s">
        <v>19</v>
      </c>
    </row>
    <row r="26" spans="1:23" x14ac:dyDescent="0.35">
      <c r="A26" s="51" t="s">
        <v>20</v>
      </c>
      <c r="B26" s="51"/>
      <c r="C26" s="51"/>
      <c r="D26" s="3"/>
      <c r="E26" s="3"/>
    </row>
    <row r="27" spans="1:23" x14ac:dyDescent="0.35">
      <c r="A27" s="16" t="s">
        <v>1</v>
      </c>
      <c r="B27" s="49" cm="1">
        <f t="array" ref="B27">MAX(HLOOKUP({"Jan","Feb","Mar","Apr","May"}, A1:F7, 3, 0))</f>
        <v>190</v>
      </c>
      <c r="C27" s="50"/>
    </row>
    <row r="28" spans="1:23" x14ac:dyDescent="0.35">
      <c r="A28" s="2" t="s">
        <v>26</v>
      </c>
      <c r="G28" s="21"/>
    </row>
    <row r="29" spans="1:23" x14ac:dyDescent="0.35">
      <c r="A29" s="43" t="s">
        <v>28</v>
      </c>
      <c r="B29" s="43"/>
      <c r="C29" s="43"/>
      <c r="G29" s="3"/>
    </row>
    <row r="30" spans="1:23" x14ac:dyDescent="0.35">
      <c r="A30" s="17" t="s">
        <v>5</v>
      </c>
      <c r="B30" s="44" cm="1">
        <f t="array" ref="B30">MIN(HLOOKUP({"Jan","Feb","Mar","Apr","May"}, A1:F7, 7, 0))</f>
        <v>130</v>
      </c>
      <c r="C30" s="45"/>
    </row>
    <row r="31" spans="1:23" x14ac:dyDescent="0.35">
      <c r="A31" s="2" t="s">
        <v>27</v>
      </c>
    </row>
    <row r="32" spans="1:23" x14ac:dyDescent="0.35">
      <c r="A32" s="46" t="s">
        <v>29</v>
      </c>
      <c r="B32" s="46"/>
      <c r="C32" s="46"/>
    </row>
    <row r="33" spans="1:19" x14ac:dyDescent="0.35">
      <c r="A33" s="18" t="s">
        <v>4</v>
      </c>
      <c r="B33" s="47" cm="1">
        <f t="array" ref="B33">AVERAGE(HLOOKUP({"Jan","Feb","Mar","Apr","May"}, A1:F7, 6, 0))</f>
        <v>240</v>
      </c>
      <c r="C33" s="48"/>
    </row>
    <row r="37" spans="1:19" ht="18.5" x14ac:dyDescent="0.45">
      <c r="A37" s="35" t="s">
        <v>30</v>
      </c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</row>
    <row r="38" spans="1:19" ht="18.5" x14ac:dyDescent="0.45">
      <c r="A38" s="35" t="s">
        <v>31</v>
      </c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</row>
    <row r="43" spans="1:19" ht="18.5" x14ac:dyDescent="0.45">
      <c r="A43" s="52" t="s">
        <v>32</v>
      </c>
      <c r="B43" s="52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</row>
    <row r="44" spans="1:19" ht="18.5" x14ac:dyDescent="0.45">
      <c r="A44" s="52" t="s">
        <v>33</v>
      </c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</row>
    <row r="45" spans="1:19" ht="18.5" x14ac:dyDescent="0.45">
      <c r="A45" s="52" t="s">
        <v>34</v>
      </c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</row>
    <row r="46" spans="1:19" ht="18.5" x14ac:dyDescent="0.45">
      <c r="A46" s="52" t="s">
        <v>35</v>
      </c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</row>
    <row r="47" spans="1:19" ht="18.5" x14ac:dyDescent="0.45">
      <c r="A47" s="52" t="s">
        <v>36</v>
      </c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</row>
    <row r="48" spans="1:19" ht="18.5" x14ac:dyDescent="0.45">
      <c r="A48" s="52" t="s">
        <v>37</v>
      </c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</row>
    <row r="49" spans="1:19" ht="18.5" x14ac:dyDescent="0.45">
      <c r="A49" s="52" t="s">
        <v>38</v>
      </c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</row>
  </sheetData>
  <mergeCells count="60">
    <mergeCell ref="A48:S48"/>
    <mergeCell ref="A49:S49"/>
    <mergeCell ref="A38:S38"/>
    <mergeCell ref="A43:S43"/>
    <mergeCell ref="A44:S44"/>
    <mergeCell ref="A45:S45"/>
    <mergeCell ref="A46:S46"/>
    <mergeCell ref="A47:S47"/>
    <mergeCell ref="V24:W24"/>
    <mergeCell ref="A29:C29"/>
    <mergeCell ref="B30:C30"/>
    <mergeCell ref="A32:C32"/>
    <mergeCell ref="B33:C33"/>
    <mergeCell ref="F24:G24"/>
    <mergeCell ref="B27:C27"/>
    <mergeCell ref="A26:C26"/>
    <mergeCell ref="A37:S37"/>
    <mergeCell ref="V18:W18"/>
    <mergeCell ref="V19:W19"/>
    <mergeCell ref="V20:W20"/>
    <mergeCell ref="V21:W21"/>
    <mergeCell ref="V22:W22"/>
    <mergeCell ref="V23:W23"/>
    <mergeCell ref="N24:O24"/>
    <mergeCell ref="R18:S18"/>
    <mergeCell ref="R19:S19"/>
    <mergeCell ref="R20:S20"/>
    <mergeCell ref="R21:S21"/>
    <mergeCell ref="R22:S22"/>
    <mergeCell ref="R23:S23"/>
    <mergeCell ref="R24:S24"/>
    <mergeCell ref="N18:O18"/>
    <mergeCell ref="N19:O19"/>
    <mergeCell ref="N20:O20"/>
    <mergeCell ref="N21:O21"/>
    <mergeCell ref="N22:O22"/>
    <mergeCell ref="N23:O23"/>
    <mergeCell ref="J23:K23"/>
    <mergeCell ref="J24:K24"/>
    <mergeCell ref="F18:G18"/>
    <mergeCell ref="F19:G19"/>
    <mergeCell ref="F20:G20"/>
    <mergeCell ref="F21:G21"/>
    <mergeCell ref="F22:G22"/>
    <mergeCell ref="F23:G23"/>
    <mergeCell ref="J18:K18"/>
    <mergeCell ref="J19:K19"/>
    <mergeCell ref="J20:K20"/>
    <mergeCell ref="J21:K21"/>
    <mergeCell ref="J22:K22"/>
    <mergeCell ref="B23:C23"/>
    <mergeCell ref="B24:C24"/>
    <mergeCell ref="A9:B9"/>
    <mergeCell ref="A12:B12"/>
    <mergeCell ref="A15:B15"/>
    <mergeCell ref="B18:C18"/>
    <mergeCell ref="B19:C19"/>
    <mergeCell ref="B20:C20"/>
    <mergeCell ref="B21:C21"/>
    <mergeCell ref="B22:C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Soumyadip Das</dc:creator>
  <cp:lastModifiedBy>Soumyadip Das</cp:lastModifiedBy>
  <dcterms:created xsi:type="dcterms:W3CDTF">2026-03-09T13:27:14Z</dcterms:created>
  <dcterms:modified xsi:type="dcterms:W3CDTF">2026-03-11T15:42:54Z</dcterms:modified>
</cp:coreProperties>
</file>