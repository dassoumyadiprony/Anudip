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251" documentId="8_{8169BCD6-291D-4B9E-AE0B-B0E499B3EF8B}" xr6:coauthVersionLast="47" xr6:coauthVersionMax="47" xr10:uidLastSave="{38AC4E78-6FF5-42F2-ABDC-88CD6EE6AE1B}"/>
  <bookViews>
    <workbookView xWindow="-110" yWindow="-110" windowWidth="19420" windowHeight="11020" xr2:uid="{D7C831F6-0189-4DD3-A952-9FD1774D5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" l="1"/>
  <c r="B30" i="1"/>
  <c r="B27" i="1"/>
  <c r="V24" i="1"/>
  <c r="V23" i="1"/>
  <c r="V22" i="1"/>
  <c r="V21" i="1"/>
  <c r="V20" i="1"/>
  <c r="V19" i="1"/>
  <c r="R24" i="1"/>
  <c r="R23" i="1"/>
  <c r="R22" i="1"/>
  <c r="R21" i="1"/>
  <c r="R20" i="1"/>
  <c r="R19" i="1"/>
  <c r="N24" i="1"/>
  <c r="N23" i="1"/>
  <c r="N22" i="1"/>
  <c r="N21" i="1"/>
  <c r="N20" i="1"/>
  <c r="N19" i="1"/>
  <c r="J24" i="1"/>
  <c r="J23" i="1"/>
  <c r="J22" i="1"/>
  <c r="J21" i="1"/>
  <c r="J20" i="1"/>
  <c r="J19" i="1"/>
  <c r="F24" i="1"/>
  <c r="B24" i="1"/>
  <c r="F20" i="1"/>
  <c r="F21" i="1"/>
  <c r="F22" i="1"/>
  <c r="F23" i="1"/>
  <c r="F19" i="1"/>
  <c r="B20" i="1"/>
  <c r="B21" i="1"/>
  <c r="B22" i="1"/>
  <c r="B23" i="1"/>
  <c r="B19" i="1"/>
  <c r="B16" i="1"/>
  <c r="B13" i="1"/>
  <c r="B10" i="1"/>
</calcChain>
</file>

<file path=xl/sharedStrings.xml><?xml version="1.0" encoding="utf-8"?>
<sst xmlns="http://schemas.openxmlformats.org/spreadsheetml/2006/main" count="87" uniqueCount="40">
  <si>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</si>
  <si>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</si>
  <si>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</si>
  <si>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</si>
  <si>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</si>
  <si>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</si>
  <si>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</si>
  <si>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</si>
  <si>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</si>
  <si>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</si>
  <si>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</si>
  <si>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Mar Sales</t>
  </si>
  <si>
    <t>ANS:1</t>
  </si>
  <si>
    <t>ANS:2</t>
  </si>
  <si>
    <t>May Sales</t>
  </si>
  <si>
    <t>Feb Sales</t>
  </si>
  <si>
    <t>ANS:3</t>
  </si>
  <si>
    <t>ANS:4</t>
  </si>
  <si>
    <t>Month</t>
  </si>
  <si>
    <t>Total Sales</t>
  </si>
  <si>
    <t>ANS:5</t>
  </si>
  <si>
    <t xml:space="preserve">Maximum sales value </t>
  </si>
  <si>
    <t>Product B Sales</t>
  </si>
  <si>
    <t>Product A Sales</t>
  </si>
  <si>
    <t>Product C Sales</t>
  </si>
  <si>
    <t>Product D Sales</t>
  </si>
  <si>
    <t>Product E Sales</t>
  </si>
  <si>
    <t>ANS:6</t>
  </si>
  <si>
    <t>ANS:7</t>
  </si>
  <si>
    <t xml:space="preserve">Minimum sales value </t>
  </si>
  <si>
    <t xml:space="preserve">Average sales value </t>
  </si>
  <si>
    <t>Name: Soumyadip Das (ID:AF05102864)</t>
  </si>
  <si>
    <t>LAB-6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</si>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</sst>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2" xfId="0" applyFont="1" applyFill="1" applyBorder="1"/>
    <xf numFmtId="0" fontId="1" fillId="0" borderId="3" xfId="0" applyFont="1" applyFill="1" applyBorder="1"/>
    <xf numFmtId="0" fontId="0" fillId="0" borderId="0" xfId="0" applyBorder="1"/>
    <xf numFmtId="0" fontId="1" fillId="0" borderId="0" xfId="0" applyFont="1" applyBorder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1" xfId="0" applyFont="1" applyFill="1" applyBorder="1"/>
    <xf numFmtId="0" fontId="1" fillId="3" borderId="1" xfId="0" applyFont="1" applyFill="1" applyBorder="1"/>
    <xf numFmtId="0" fontId="0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0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/>
    </xf>
    <xf numFmtId="0" fontId="0" fillId="6" borderId="1" xfId="0" applyFont="1" applyFill="1" applyBorder="1"/>
    <xf numFmtId="0" fontId="0" fillId="6" borderId="1" xfId="0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5" borderId="1" xfId="0" applyFont="1" applyFill="1" applyBorder="1"/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/>
    <xf numFmtId="0" fontId="0" fillId="12" borderId="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" xfId="0" applyFont="1" applyFill="1" applyBorder="1"/>
    <xf numFmtId="0" fontId="0" fillId="13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4" borderId="1" xfId="0" applyFont="1" applyFill="1" applyBorder="1"/>
    <xf numFmtId="0" fontId="0" fillId="14" borderId="4" xfId="0" applyFill="1" applyBorder="1" applyAlignment="1">
      <alignment horizontal="center"/>
    </xf>
    <xf numFmtId="0" fontId="0" fillId="1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66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664F-31B4-4336-9F41-A3A44961E9D0}">
  <dimension ref="A1:W49"/>
  <sheetViews>
    <sheetView tabSelected="1" topLeftCell="A26" workbookViewId="0">
      <selection activeCell="G35" sqref="G35"/>
    </sheetView>
  </sheetViews>
  <sheetFormatPr defaultRowHeight="14.5" x14ac:dyDescent="0.35"/>
  <cols>
    <col min="1" max="1" width="9.54296875" customWidth="1"/>
    <col min="5" max="5" width="10.1796875" customWidth="1"/>
    <col min="9" max="9" width="10" customWidth="1"/>
    <col min="13" max="13" width="10.6328125" customWidth="1"/>
    <col min="17" max="17" width="10" customWidth="1"/>
  </cols>
  <sheetData>
    <row r="1" spans="1:6" x14ac:dyDescent="0.35">
      <c r="A1" s="7"/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</row>
    <row r="2" spans="1:6" x14ac:dyDescent="0.35">
      <c r="A2" s="7" t="s">
        <v>0</v>
      </c>
      <c r="B2" s="9">
        <v>120</v>
      </c>
      <c r="C2" s="9">
        <v>130</v>
      </c>
      <c r="D2" s="9">
        <v>140</v>
      </c>
      <c r="E2" s="9">
        <v>150</v>
      </c>
      <c r="F2" s="9">
        <v>160</v>
      </c>
    </row>
    <row r="3" spans="1:6" x14ac:dyDescent="0.35">
      <c r="A3" s="7" t="s">
        <v>1</v>
      </c>
      <c r="B3" s="9">
        <v>150</v>
      </c>
      <c r="C3" s="9">
        <v>160</v>
      </c>
      <c r="D3" s="9">
        <v>170</v>
      </c>
      <c r="E3" s="9">
        <v>180</v>
      </c>
      <c r="F3" s="9">
        <v>190</v>
      </c>
    </row>
    <row r="4" spans="1:6" x14ac:dyDescent="0.35">
      <c r="A4" s="7" t="s">
        <v>2</v>
      </c>
      <c r="B4" s="9">
        <v>200</v>
      </c>
      <c r="C4" s="9">
        <v>210</v>
      </c>
      <c r="D4" s="9">
        <v>220</v>
      </c>
      <c r="E4" s="9">
        <v>230</v>
      </c>
      <c r="F4" s="9">
        <v>240</v>
      </c>
    </row>
    <row r="5" spans="1:6" x14ac:dyDescent="0.35">
      <c r="A5" s="7" t="s">
        <v>3</v>
      </c>
      <c r="B5" s="9">
        <v>90</v>
      </c>
      <c r="C5" s="9">
        <v>100</v>
      </c>
      <c r="D5" s="9">
        <v>110</v>
      </c>
      <c r="E5" s="9">
        <v>120</v>
      </c>
      <c r="F5" s="9">
        <v>130</v>
      </c>
    </row>
    <row r="6" spans="1:6" x14ac:dyDescent="0.35">
      <c r="A6" s="7" t="s">
        <v>4</v>
      </c>
      <c r="B6" s="9">
        <v>220</v>
      </c>
      <c r="C6" s="9">
        <v>230</v>
      </c>
      <c r="D6" s="9">
        <v>240</v>
      </c>
      <c r="E6" s="9">
        <v>250</v>
      </c>
      <c r="F6" s="9">
        <v>260</v>
      </c>
    </row>
    <row r="7" spans="1:6" x14ac:dyDescent="0.35">
      <c r="A7" s="7" t="s">
        <v>5</v>
      </c>
      <c r="B7" s="9">
        <v>130</v>
      </c>
      <c r="C7" s="9">
        <v>140</v>
      </c>
      <c r="D7" s="9">
        <v>150</v>
      </c>
      <c r="E7" s="9">
        <v>160</v>
      </c>
      <c r="F7" s="9">
        <v>170</v>
      </c>
    </row>
    <row r="8" spans="1:6" x14ac:dyDescent="0.35">
      <c r="A8" s="1" t="s">
        <v>12</v>
      </c>
    </row>
    <row r="9" spans="1:6" x14ac:dyDescent="0.35">
      <c r="A9" s="10" t="s">
        <v>11</v>
      </c>
      <c r="B9" s="10"/>
    </row>
    <row r="10" spans="1:6" x14ac:dyDescent="0.35">
      <c r="A10" s="11" t="s">
        <v>0</v>
      </c>
      <c r="B10" s="12">
        <f>HLOOKUP("Mar",A1:F7,2,0)</f>
        <v>140</v>
      </c>
    </row>
    <row r="11" spans="1:6" x14ac:dyDescent="0.35">
      <c r="A11" s="2" t="s">
        <v>13</v>
      </c>
      <c r="B11" s="3"/>
    </row>
    <row r="12" spans="1:6" x14ac:dyDescent="0.35">
      <c r="A12" s="13" t="s">
        <v>14</v>
      </c>
      <c r="B12" s="13"/>
    </row>
    <row r="13" spans="1:6" x14ac:dyDescent="0.35">
      <c r="A13" s="14" t="s">
        <v>3</v>
      </c>
      <c r="B13" s="15">
        <f>HLOOKUP("May",A1:F7,5,0)</f>
        <v>130</v>
      </c>
    </row>
    <row r="14" spans="1:6" x14ac:dyDescent="0.35">
      <c r="A14" s="2" t="s">
        <v>16</v>
      </c>
    </row>
    <row r="15" spans="1:6" x14ac:dyDescent="0.35">
      <c r="A15" s="16" t="s">
        <v>15</v>
      </c>
      <c r="B15" s="16"/>
    </row>
    <row r="16" spans="1:6" x14ac:dyDescent="0.35">
      <c r="A16" s="17" t="s">
        <v>2</v>
      </c>
      <c r="B16" s="18">
        <f>HLOOKUP("Feb",A1:F7,4,0)</f>
        <v>210</v>
      </c>
    </row>
    <row r="17" spans="1:23" x14ac:dyDescent="0.35">
      <c r="A17" s="2" t="s">
        <v>17</v>
      </c>
    </row>
    <row r="18" spans="1:23" x14ac:dyDescent="0.35">
      <c r="A18" s="19" t="s">
        <v>18</v>
      </c>
      <c r="B18" s="20" t="s">
        <v>22</v>
      </c>
      <c r="C18" s="20"/>
      <c r="E18" s="22" t="s">
        <v>18</v>
      </c>
      <c r="F18" s="13" t="s">
        <v>23</v>
      </c>
      <c r="G18" s="13"/>
      <c r="I18" s="26" t="s">
        <v>18</v>
      </c>
      <c r="J18" s="27" t="s">
        <v>24</v>
      </c>
      <c r="K18" s="27"/>
      <c r="M18" s="30" t="s">
        <v>18</v>
      </c>
      <c r="N18" s="31" t="s">
        <v>25</v>
      </c>
      <c r="O18" s="31"/>
      <c r="Q18" s="34" t="s">
        <v>18</v>
      </c>
      <c r="R18" s="35" t="s">
        <v>26</v>
      </c>
      <c r="S18" s="35"/>
      <c r="U18" s="38" t="s">
        <v>18</v>
      </c>
      <c r="V18" s="39" t="s">
        <v>26</v>
      </c>
      <c r="W18" s="39"/>
    </row>
    <row r="19" spans="1:23" x14ac:dyDescent="0.35">
      <c r="A19" s="19" t="s">
        <v>6</v>
      </c>
      <c r="B19" s="21">
        <f>HLOOKUP("Jan",A1:F7,3,0)</f>
        <v>150</v>
      </c>
      <c r="C19" s="21"/>
      <c r="E19" s="22" t="s">
        <v>6</v>
      </c>
      <c r="F19" s="23">
        <f>HLOOKUP("Jan",A1:F7,2,FALSE)</f>
        <v>120</v>
      </c>
      <c r="G19" s="23"/>
      <c r="I19" s="26" t="s">
        <v>6</v>
      </c>
      <c r="J19" s="28">
        <f>HLOOKUP("Jan",A1:F7,4,FALSE)</f>
        <v>200</v>
      </c>
      <c r="K19" s="29"/>
      <c r="M19" s="30" t="s">
        <v>6</v>
      </c>
      <c r="N19" s="32">
        <f>HLOOKUP("Jan",A1:F7,5,FALSE)</f>
        <v>90</v>
      </c>
      <c r="O19" s="33"/>
      <c r="Q19" s="34" t="s">
        <v>6</v>
      </c>
      <c r="R19" s="36">
        <f>HLOOKUP("Jan",A1:F7,6,FALSE)</f>
        <v>220</v>
      </c>
      <c r="S19" s="37"/>
      <c r="U19" s="38" t="s">
        <v>6</v>
      </c>
      <c r="V19" s="40">
        <f>HLOOKUP("Jan",A1:F7,7,FALSE)</f>
        <v>130</v>
      </c>
      <c r="W19" s="41"/>
    </row>
    <row r="20" spans="1:23" x14ac:dyDescent="0.35">
      <c r="A20" s="19" t="s">
        <v>7</v>
      </c>
      <c r="B20" s="21">
        <f>HLOOKUP("Feb",A1:F7,3,0)</f>
        <v>160</v>
      </c>
      <c r="C20" s="21"/>
      <c r="E20" s="22" t="s">
        <v>7</v>
      </c>
      <c r="F20" s="24">
        <f>HLOOKUP("Feb",A1:F7,2,FALSE)</f>
        <v>130</v>
      </c>
      <c r="G20" s="25"/>
      <c r="I20" s="26" t="s">
        <v>7</v>
      </c>
      <c r="J20" s="28">
        <f>HLOOKUP("Feb",A1:F7,4,FALSE)</f>
        <v>210</v>
      </c>
      <c r="K20" s="29"/>
      <c r="M20" s="30" t="s">
        <v>7</v>
      </c>
      <c r="N20" s="32">
        <f>HLOOKUP("Feb",A1:F7,5,FALSE)</f>
        <v>100</v>
      </c>
      <c r="O20" s="33"/>
      <c r="Q20" s="34" t="s">
        <v>7</v>
      </c>
      <c r="R20" s="36">
        <f>HLOOKUP("Feb",A1:F7,6,FALSE)</f>
        <v>230</v>
      </c>
      <c r="S20" s="37"/>
      <c r="U20" s="38" t="s">
        <v>7</v>
      </c>
      <c r="V20" s="40">
        <f>HLOOKUP("Feb",A1:F7,7,FALSE)</f>
        <v>140</v>
      </c>
      <c r="W20" s="41"/>
    </row>
    <row r="21" spans="1:23" x14ac:dyDescent="0.35">
      <c r="A21" s="19" t="s">
        <v>8</v>
      </c>
      <c r="B21" s="21">
        <f>HLOOKUP("Mar",A1:F7,3,0)</f>
        <v>170</v>
      </c>
      <c r="C21" s="21"/>
      <c r="E21" s="22" t="s">
        <v>8</v>
      </c>
      <c r="F21" s="24">
        <f>HLOOKUP("Mar",A1:F7,2,FALSE)</f>
        <v>140</v>
      </c>
      <c r="G21" s="25"/>
      <c r="I21" s="26" t="s">
        <v>8</v>
      </c>
      <c r="J21" s="28">
        <f>HLOOKUP("Mar",A1:F7,4,FALSE)</f>
        <v>220</v>
      </c>
      <c r="K21" s="29"/>
      <c r="M21" s="30" t="s">
        <v>8</v>
      </c>
      <c r="N21" s="32">
        <f>HLOOKUP("Mar",A1:F7,5,FALSE)</f>
        <v>110</v>
      </c>
      <c r="O21" s="33"/>
      <c r="Q21" s="34" t="s">
        <v>8</v>
      </c>
      <c r="R21" s="36">
        <f>HLOOKUP("Mar",A1:F7,6,FALSE)</f>
        <v>240</v>
      </c>
      <c r="S21" s="37"/>
      <c r="U21" s="38" t="s">
        <v>8</v>
      </c>
      <c r="V21" s="40">
        <f>HLOOKUP("Mar",A1:F7,7,FALSE)</f>
        <v>150</v>
      </c>
      <c r="W21" s="41"/>
    </row>
    <row r="22" spans="1:23" x14ac:dyDescent="0.35">
      <c r="A22" s="19" t="s">
        <v>9</v>
      </c>
      <c r="B22" s="21">
        <f>HLOOKUP("Apr",A1:F7,3,0)</f>
        <v>180</v>
      </c>
      <c r="C22" s="21"/>
      <c r="E22" s="22" t="s">
        <v>9</v>
      </c>
      <c r="F22" s="24">
        <f>HLOOKUP("Apr",A1:F7,2,FALSE)</f>
        <v>150</v>
      </c>
      <c r="G22" s="25"/>
      <c r="I22" s="26" t="s">
        <v>9</v>
      </c>
      <c r="J22" s="28">
        <f>HLOOKUP("Apr",A1:F7,4,FALSE)</f>
        <v>230</v>
      </c>
      <c r="K22" s="29"/>
      <c r="M22" s="30" t="s">
        <v>9</v>
      </c>
      <c r="N22" s="32">
        <f>HLOOKUP("Apr",A1:F7,5,FALSE)</f>
        <v>120</v>
      </c>
      <c r="O22" s="33"/>
      <c r="Q22" s="34" t="s">
        <v>9</v>
      </c>
      <c r="R22" s="36">
        <f>HLOOKUP("Apr",A1:F7,6,FALSE)</f>
        <v>250</v>
      </c>
      <c r="S22" s="37"/>
      <c r="U22" s="38" t="s">
        <v>9</v>
      </c>
      <c r="V22" s="40">
        <f>HLOOKUP("Apr",A1:F7,7,FALSE)</f>
        <v>160</v>
      </c>
      <c r="W22" s="41"/>
    </row>
    <row r="23" spans="1:23" x14ac:dyDescent="0.35">
      <c r="A23" s="19" t="s">
        <v>10</v>
      </c>
      <c r="B23" s="21">
        <f>HLOOKUP("May",A1:F7,3,0)</f>
        <v>190</v>
      </c>
      <c r="C23" s="21"/>
      <c r="E23" s="22" t="s">
        <v>10</v>
      </c>
      <c r="F23" s="24">
        <f>HLOOKUP("May",A1:F7,2,FALSE)</f>
        <v>160</v>
      </c>
      <c r="G23" s="25"/>
      <c r="I23" s="26" t="s">
        <v>10</v>
      </c>
      <c r="J23" s="28">
        <f>HLOOKUP("May",A1:F7,4,FALSE)</f>
        <v>240</v>
      </c>
      <c r="K23" s="29"/>
      <c r="M23" s="30" t="s">
        <v>10</v>
      </c>
      <c r="N23" s="32">
        <f>HLOOKUP("May",A1:F7,5,FALSE)</f>
        <v>130</v>
      </c>
      <c r="O23" s="33"/>
      <c r="Q23" s="34" t="s">
        <v>10</v>
      </c>
      <c r="R23" s="36">
        <f>HLOOKUP("May",A1:F7,6,FALSE)</f>
        <v>260</v>
      </c>
      <c r="S23" s="37"/>
      <c r="U23" s="38" t="s">
        <v>10</v>
      </c>
      <c r="V23" s="40">
        <f>HLOOKUP("May",A1:F7,7,FALSE)</f>
        <v>170</v>
      </c>
      <c r="W23" s="41"/>
    </row>
    <row r="24" spans="1:23" x14ac:dyDescent="0.35">
      <c r="A24" s="19" t="s">
        <v>19</v>
      </c>
      <c r="B24" s="21">
        <f>SUM(B19:B23)</f>
        <v>850</v>
      </c>
      <c r="C24" s="21"/>
      <c r="E24" s="22" t="s">
        <v>19</v>
      </c>
      <c r="F24" s="24">
        <f>SUM(F19:G23)</f>
        <v>700</v>
      </c>
      <c r="G24" s="25"/>
      <c r="I24" s="26" t="s">
        <v>19</v>
      </c>
      <c r="J24" s="28">
        <f>SUM(J19:K23)</f>
        <v>1100</v>
      </c>
      <c r="K24" s="29"/>
      <c r="M24" s="30" t="s">
        <v>19</v>
      </c>
      <c r="N24" s="32">
        <f>SUM(N19:O23)</f>
        <v>550</v>
      </c>
      <c r="O24" s="33"/>
      <c r="Q24" s="34" t="s">
        <v>19</v>
      </c>
      <c r="R24" s="36">
        <f>SUM(R19:S23)</f>
        <v>1200</v>
      </c>
      <c r="S24" s="37"/>
      <c r="U24" s="38" t="s">
        <v>19</v>
      </c>
      <c r="V24" s="40">
        <f>SUM(V19:W23)</f>
        <v>750</v>
      </c>
      <c r="W24" s="41"/>
    </row>
    <row r="25" spans="1:23" x14ac:dyDescent="0.35">
      <c r="A25" s="2" t="s">
        <v>20</v>
      </c>
    </row>
    <row r="26" spans="1:23" x14ac:dyDescent="0.35">
      <c r="A26" s="42" t="s">
        <v>21</v>
      </c>
      <c r="B26" s="42"/>
      <c r="C26" s="42"/>
      <c r="D26" s="4"/>
      <c r="E26" s="4"/>
    </row>
    <row r="27" spans="1:23" x14ac:dyDescent="0.35">
      <c r="A27" s="43" t="s">
        <v>1</v>
      </c>
      <c r="B27" s="44">
        <f>MAX(B19:B23)</f>
        <v>190</v>
      </c>
      <c r="C27" s="45"/>
    </row>
    <row r="28" spans="1:23" x14ac:dyDescent="0.35">
      <c r="A28" s="2" t="s">
        <v>27</v>
      </c>
    </row>
    <row r="29" spans="1:23" x14ac:dyDescent="0.35">
      <c r="A29" s="46" t="s">
        <v>29</v>
      </c>
      <c r="B29" s="46"/>
      <c r="C29" s="46"/>
    </row>
    <row r="30" spans="1:23" x14ac:dyDescent="0.35">
      <c r="A30" s="47" t="s">
        <v>5</v>
      </c>
      <c r="B30" s="48">
        <f>MIN(V19:W23)</f>
        <v>130</v>
      </c>
      <c r="C30" s="49"/>
    </row>
    <row r="31" spans="1:23" x14ac:dyDescent="0.35">
      <c r="A31" s="2" t="s">
        <v>28</v>
      </c>
    </row>
    <row r="32" spans="1:23" x14ac:dyDescent="0.35">
      <c r="A32" s="50" t="s">
        <v>30</v>
      </c>
      <c r="B32" s="50"/>
      <c r="C32" s="50"/>
    </row>
    <row r="33" spans="1:19" x14ac:dyDescent="0.35">
      <c r="A33" s="51" t="s">
        <v>4</v>
      </c>
      <c r="B33" s="52">
        <f>AVERAGE(B6:F6)</f>
        <v>240</v>
      </c>
      <c r="C33" s="53"/>
    </row>
    <row r="37" spans="1:19" ht="18.5" x14ac:dyDescent="0.45">
      <c r="A37" s="6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ht="18.5" x14ac:dyDescent="0.45">
      <c r="A38" s="6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43" spans="1:19" ht="18.5" x14ac:dyDescent="0.45">
      <c r="A43" s="5" t="s">
        <v>33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8.5" x14ac:dyDescent="0.45">
      <c r="A44" s="5" t="s">
        <v>34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ht="18.5" x14ac:dyDescent="0.45">
      <c r="A45" s="5" t="s">
        <v>35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ht="18.5" x14ac:dyDescent="0.45">
      <c r="A46" s="5" t="s">
        <v>36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ht="18.5" x14ac:dyDescent="0.45">
      <c r="A47" s="5" t="s">
        <v>37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ht="18.5" x14ac:dyDescent="0.45">
      <c r="A48" s="5" t="s">
        <v>38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ht="18.5" x14ac:dyDescent="0.45">
      <c r="A49" s="5" t="s">
        <v>39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</sheetData>
  <mergeCells count="60">
    <mergeCell ref="A48:S48"/>
    <mergeCell ref="A49:S49"/>
    <mergeCell ref="A38:S38"/>
    <mergeCell ref="A43:S43"/>
    <mergeCell ref="A44:S44"/>
    <mergeCell ref="A45:S45"/>
    <mergeCell ref="A46:S46"/>
    <mergeCell ref="A47:S47"/>
    <mergeCell ref="V24:W24"/>
    <mergeCell ref="A29:C29"/>
    <mergeCell ref="B30:C30"/>
    <mergeCell ref="A32:C32"/>
    <mergeCell ref="B33:C33"/>
    <mergeCell ref="A37:S37"/>
    <mergeCell ref="V18:W18"/>
    <mergeCell ref="V19:W19"/>
    <mergeCell ref="V20:W20"/>
    <mergeCell ref="V21:W21"/>
    <mergeCell ref="V22:W22"/>
    <mergeCell ref="V23:W23"/>
    <mergeCell ref="N24:O24"/>
    <mergeCell ref="R18:S18"/>
    <mergeCell ref="R19:S19"/>
    <mergeCell ref="R20:S20"/>
    <mergeCell ref="R21:S21"/>
    <mergeCell ref="R22:S22"/>
    <mergeCell ref="R23:S23"/>
    <mergeCell ref="R24:S24"/>
    <mergeCell ref="N18:O18"/>
    <mergeCell ref="N19:O19"/>
    <mergeCell ref="N20:O20"/>
    <mergeCell ref="N21:O21"/>
    <mergeCell ref="N22:O22"/>
    <mergeCell ref="N23:O23"/>
    <mergeCell ref="F24:G24"/>
    <mergeCell ref="J18:K18"/>
    <mergeCell ref="J19:K19"/>
    <mergeCell ref="J20:K20"/>
    <mergeCell ref="J21:K21"/>
    <mergeCell ref="J22:K22"/>
    <mergeCell ref="J23:K23"/>
    <mergeCell ref="J24:K24"/>
    <mergeCell ref="F18:G18"/>
    <mergeCell ref="F19:G19"/>
    <mergeCell ref="F20:G20"/>
    <mergeCell ref="F21:G21"/>
    <mergeCell ref="F22:G22"/>
    <mergeCell ref="F23:G23"/>
    <mergeCell ref="B27:C27"/>
    <mergeCell ref="B18:C18"/>
    <mergeCell ref="B19:C19"/>
    <mergeCell ref="B20:C20"/>
    <mergeCell ref="B21:C21"/>
    <mergeCell ref="B22:C22"/>
    <mergeCell ref="B23:C23"/>
    <mergeCell ref="B24:C24"/>
    <mergeCell ref="A9:B9"/>
    <mergeCell ref="A12:B12"/>
    <mergeCell ref="A15:B15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2026-03-09T13:27:14Z</dcterms:created>
  <dcterms:modified xsi:type="dcterms:W3CDTF">2026-03-09T15:55:30Z</dcterms:modified>
</cp:coreProperties>
</file>