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61" documentId="14_{A9ECB1E7-F1BC-4A5B-B6BC-E65C1F5F9B8D}" xr6:coauthVersionLast="47" xr6:coauthVersionMax="47" xr10:uidLastSave="{24621417-9C3C-491E-A3CA-03A95750562B}"/>
  <bookViews>
    <workbookView xWindow="-110" yWindow="-110" windowWidth="19420" windowHeight="11020" activeTab="1" xr2:uid="{D29F1A35-DE9D-4FD4-AF06-DCA0F0B7FAFF}"/>
  </bookViews>
  <sheets>
    <sheet name="Sheet1" sheetId="1" r:id="rId1"/>
    <sheet name="Sheet2" sheetId="2" r:id="rId2"/>
  </sheets>
  <definedNames>
    <definedName name="_xlnm._FilterDatabase" localSheetId="0" hidden="1">Sheet1!$A$1:$R$16</definedName>
    <definedName name="_xlnm._FilterDatabase" localSheetId="1" hidden="1">Sheet2!$A$1:$D$9</definedName>
    <definedName name="_xlnm.Criteria" localSheetId="0">Sheet1!$T$1:$T$2</definedName>
    <definedName name="_xlnm.Criteria" localSheetId="1">Sheet2!$H$9:$H$10</definedName>
    <definedName name="_xlnm.Extract" localSheetId="0">Sheet1!$U$5:$AL$5</definedName>
    <definedName name="_xlnm.Extract" localSheetId="1">Sheet2!$I$11:$L$11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1" l="1"/>
  <c r="Q9" i="1" a="1"/>
  <c r="Q9" i="1" s="1"/>
  <c r="O9" i="1"/>
  <c r="P9" i="1" s="1"/>
  <c r="R7" i="1"/>
  <c r="Q7" i="1" a="1"/>
  <c r="Q7" i="1" s="1"/>
  <c r="O7" i="1"/>
  <c r="P7" i="1" s="1"/>
  <c r="R10" i="1"/>
  <c r="Q10" i="1" a="1"/>
  <c r="Q10" i="1" s="1"/>
  <c r="O10" i="1"/>
  <c r="P10" i="1" s="1"/>
  <c r="R5" i="1"/>
  <c r="Q5" i="1" a="1"/>
  <c r="Q5" i="1" s="1"/>
  <c r="O5" i="1"/>
  <c r="P5" i="1" s="1"/>
  <c r="R16" i="1"/>
  <c r="Q16" i="1" a="1"/>
  <c r="Q16" i="1" s="1"/>
  <c r="O16" i="1"/>
  <c r="P16" i="1" s="1"/>
  <c r="R15" i="1"/>
  <c r="Q15" i="1" a="1"/>
  <c r="Q15" i="1" s="1"/>
  <c r="O15" i="1"/>
  <c r="P15" i="1" s="1"/>
  <c r="R12" i="1"/>
  <c r="Q12" i="1" a="1"/>
  <c r="Q12" i="1" s="1"/>
  <c r="O12" i="1"/>
  <c r="P12" i="1" s="1"/>
  <c r="R4" i="1"/>
  <c r="Q4" i="1" a="1"/>
  <c r="Q4" i="1" s="1"/>
  <c r="O4" i="1"/>
  <c r="P4" i="1" s="1"/>
  <c r="R14" i="1"/>
  <c r="Q14" i="1" a="1"/>
  <c r="Q14" i="1" s="1"/>
  <c r="O14" i="1"/>
  <c r="P14" i="1" s="1"/>
  <c r="R8" i="1"/>
  <c r="Q8" i="1" a="1"/>
  <c r="Q8" i="1" s="1"/>
  <c r="O8" i="1"/>
  <c r="P8" i="1" s="1"/>
  <c r="R6" i="1"/>
  <c r="Q6" i="1" a="1"/>
  <c r="Q6" i="1" s="1"/>
  <c r="O6" i="1"/>
  <c r="P6" i="1" s="1"/>
  <c r="R13" i="1"/>
  <c r="Q13" i="1" a="1"/>
  <c r="Q13" i="1" s="1"/>
  <c r="O13" i="1"/>
  <c r="P13" i="1" s="1"/>
  <c r="R11" i="1"/>
  <c r="Q11" i="1" a="1"/>
  <c r="Q11" i="1" s="1"/>
  <c r="O11" i="1"/>
  <c r="P11" i="1" s="1"/>
  <c r="R3" i="1"/>
  <c r="Q3" i="1" a="1"/>
  <c r="Q3" i="1" s="1"/>
  <c r="O3" i="1"/>
  <c r="P3" i="1" s="1"/>
  <c r="R2" i="1"/>
  <c r="Q2" i="1" a="1"/>
  <c r="Q2" i="1" s="1"/>
  <c r="O2" i="1"/>
  <c r="P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<sst xmlns="http://schemas.openxmlformats.org/spreadsheetml/2006/main" count="207" uniqueCount="73">
  <si>
    <t>Mumbai</t>
  </si>
  <si>
    <t>West Bengal</t>
  </si>
  <si>
    <t>Website</t>
  </si>
  <si>
    <t>UPI</t>
  </si>
  <si>
    <t>Sports</t>
  </si>
  <si>
    <t>Football</t>
  </si>
  <si>
    <t>BrandD</t>
  </si>
  <si>
    <t>Low price</t>
  </si>
  <si>
    <t>Medium</t>
  </si>
  <si>
    <t>Pune</t>
  </si>
  <si>
    <t>Debit Card</t>
  </si>
  <si>
    <t>Electronics</t>
  </si>
  <si>
    <t>Headphones</t>
  </si>
  <si>
    <t>BrandA</t>
  </si>
  <si>
    <t>HIGH</t>
  </si>
  <si>
    <t>Delhi</t>
  </si>
  <si>
    <t>Cash on Delivery</t>
  </si>
  <si>
    <t>Yoga Mat</t>
  </si>
  <si>
    <t>BrandB</t>
  </si>
  <si>
    <t>Tamil Nadu</t>
  </si>
  <si>
    <t>Marketplace</t>
  </si>
  <si>
    <t>Net Banking</t>
  </si>
  <si>
    <t>Fashion</t>
  </si>
  <si>
    <t>Kolkata</t>
  </si>
  <si>
    <t>Home &amp; Kitchen</t>
  </si>
  <si>
    <t>Bedsheet</t>
  </si>
  <si>
    <t>BrandE</t>
  </si>
  <si>
    <t>Telangana</t>
  </si>
  <si>
    <t>High price</t>
  </si>
  <si>
    <t>Mobile App</t>
  </si>
  <si>
    <t>Credit Card</t>
  </si>
  <si>
    <t>BrandC</t>
  </si>
  <si>
    <t>Bengaluru</t>
  </si>
  <si>
    <t>Chennai</t>
  </si>
  <si>
    <t>T-Shirt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</si>
  <si>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</si>
  <si>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</si>
  <si>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</si>
  <si>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</si>
  <si>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</si>
  <si>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</si>
  <si>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</si>
  <si>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</si>
  <si>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</si>
  <si>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</si>
  <si>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</si>
  <si>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</si>
  <si>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</si>
  <si>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</si>
  <si>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Total Price</t>
  </si>
  <si>
    <t>Price Category</t>
  </si>
  <si>
    <t>Discount Category</t>
  </si>
  <si>
    <t>Unit Category</t>
  </si>
  <si>
    <t>Mixer Grinder</t>
  </si>
  <si>
    <t>Sneakers</t>
  </si>
  <si>
    <t>Karnataka</t>
  </si>
  <si>
    <t>Jacket</t>
  </si>
  <si>
    <t>Hyderabad</t>
  </si>
  <si>
    <t>Smartwatch</t>
  </si>
  <si>
    <t>Beauty</t>
  </si>
  <si>
    <t>Shampoo</t>
  </si>
  <si>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</si>
  <si>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</si>
  <si>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</si>
  <si>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</si>
  <si>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</si>
  <si>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</si>
  <si>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</si>
  <si>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</si>
  <si>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</si>
  <si>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</si>
  <si>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</si>
  <si>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&gt;150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</si>
</sst>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6" borderId="1" xfId="0" applyFill="1" applyBorder="1"/>
    <xf numFmtId="14" fontId="0" fillId="6" borderId="1" xfId="0" applyNumberFormat="1" applyFill="1" applyBorder="1"/>
    <xf numFmtId="0" fontId="0" fillId="7" borderId="1" xfId="0" applyFill="1" applyBorder="1"/>
    <xf numFmtId="14" fontId="0" fillId="7" borderId="1" xfId="0" applyNumberFormat="1" applyFill="1" applyBorder="1"/>
    <xf numFmtId="0" fontId="0" fillId="0" borderId="1" xfId="0" applyFill="1" applyBorder="1"/>
    <xf numFmtId="0" fontId="2" fillId="0" borderId="0" xfId="0" applyFont="1" applyFill="1" applyBorder="1"/>
    <xf numFmtId="0" fontId="0" fillId="0" borderId="0" xfId="0" applyFill="1" applyBorder="1"/>
    <xf numFmtId="14" fontId="0" fillId="0" borderId="0" xfId="0" applyNumberFormat="1" applyFill="1" applyBorder="1"/>
    <xf numFmtId="0" fontId="3" fillId="8" borderId="1" xfId="0" applyFont="1" applyFill="1" applyBorder="1" applyAlignment="1">
      <alignment horizontal="center"/>
    </xf>
    <xf numFmtId="0" fontId="4" fillId="0" borderId="1" xfId="0" applyFont="1" applyBorder="1"/>
    <xf numFmtId="14" fontId="4" fillId="0" borderId="1" xfId="0" applyNumberFormat="1" applyFont="1" applyBorder="1"/>
    <xf numFmtId="0" fontId="4" fillId="0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14">
    <dxf>
      <font>
        <b/>
        <i val="0"/>
        <color theme="6" tint="-0.24994659260841701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/>
        <color theme="7" tint="-0.499984740745262"/>
      </font>
      <fill>
        <patternFill>
          <bgColor theme="5" tint="0.79998168889431442"/>
        </patternFill>
      </fill>
    </dxf>
    <dxf>
      <font>
        <color rgb="FF00B0F0"/>
      </font>
      <fill>
        <patternFill patternType="solid">
          <bgColor theme="5" tint="0.59996337778862885"/>
        </patternFill>
      </fill>
    </dxf>
    <dxf>
      <font>
        <b/>
        <i val="0"/>
        <color theme="4" tint="-0.24994659260841701"/>
      </font>
      <fill>
        <patternFill>
          <bgColor theme="5" tint="0.59996337778862885"/>
        </patternFill>
      </fill>
    </dxf>
    <dxf>
      <font>
        <b/>
        <i val="0"/>
        <color rgb="FF92D050"/>
      </font>
      <fill>
        <patternFill>
          <bgColor theme="4" tint="0.59996337778862885"/>
        </patternFill>
      </fill>
    </dxf>
    <dxf>
      <font>
        <b/>
        <i val="0"/>
        <color theme="6" tint="-0.24994659260841701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rgb="FF00B0F0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/>
        <color theme="7" tint="-0.499984740745262"/>
      </font>
      <fill>
        <patternFill>
          <bgColor theme="5" tint="0.79998168889431442"/>
        </patternFill>
      </fill>
    </dxf>
    <dxf>
      <font>
        <color rgb="FF00B0F0"/>
      </font>
      <fill>
        <patternFill patternType="solid">
          <bgColor theme="5" tint="0.59996337778862885"/>
        </patternFill>
      </fill>
    </dxf>
    <dxf>
      <font>
        <b/>
        <i val="0"/>
        <color theme="4" tint="-0.24994659260841701"/>
      </font>
      <fill>
        <patternFill>
          <bgColor theme="5" tint="0.59996337778862885"/>
        </patternFill>
      </fill>
    </dxf>
    <dxf>
      <font>
        <b/>
        <i val="0"/>
        <color rgb="FF92D050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09F4-D914-402A-8D5F-D4BF519771C1}">
  <dimension ref="A1:AL16"/>
  <sheetViews>
    <sheetView topLeftCell="K1" workbookViewId="0">
      <selection activeCell="S14" sqref="S14"/>
    </sheetView>
  </sheetViews>
  <sheetFormatPr defaultRowHeight="14.5" x14ac:dyDescent="0.35"/>
  <cols>
    <col min="1" max="1" width="10.6328125" bestFit="1" customWidth="1"/>
    <col min="2" max="2" width="14.08984375" bestFit="1" customWidth="1"/>
    <col min="3" max="3" width="13" bestFit="1" customWidth="1"/>
    <col min="4" max="4" width="11.7265625" bestFit="1" customWidth="1"/>
    <col min="5" max="5" width="10" bestFit="1" customWidth="1"/>
    <col min="6" max="6" width="11.08984375" bestFit="1" customWidth="1"/>
    <col min="7" max="7" width="15.6328125" bestFit="1" customWidth="1"/>
    <col min="8" max="8" width="18.81640625" bestFit="1" customWidth="1"/>
    <col min="9" max="9" width="18.6328125" bestFit="1" customWidth="1"/>
    <col min="10" max="10" width="16" bestFit="1" customWidth="1"/>
    <col min="11" max="11" width="8.453125" bestFit="1" customWidth="1"/>
    <col min="12" max="12" width="12.08984375" bestFit="1" customWidth="1"/>
    <col min="13" max="13" width="11.7265625" bestFit="1" customWidth="1"/>
    <col min="14" max="14" width="13" bestFit="1" customWidth="1"/>
    <col min="15" max="15" width="12.54296875" bestFit="1" customWidth="1"/>
    <col min="16" max="16" width="16" bestFit="1" customWidth="1"/>
    <col min="17" max="17" width="19.6328125" bestFit="1" customWidth="1"/>
    <col min="18" max="18" width="15.453125" bestFit="1" customWidth="1"/>
    <col min="21" max="21" width="8.36328125" bestFit="1" customWidth="1"/>
    <col min="22" max="22" width="11.81640625" bestFit="1" customWidth="1"/>
    <col min="23" max="23" width="10.7265625" bestFit="1" customWidth="1"/>
    <col min="24" max="24" width="10.08984375" bestFit="1" customWidth="1"/>
    <col min="25" max="25" width="6.90625" bestFit="1" customWidth="1"/>
    <col min="26" max="26" width="9.1796875" bestFit="1" customWidth="1"/>
    <col min="27" max="27" width="13.36328125" bestFit="1" customWidth="1"/>
    <col min="28" max="28" width="16.54296875" bestFit="1" customWidth="1"/>
    <col min="29" max="29" width="16.36328125" bestFit="1" customWidth="1"/>
    <col min="30" max="30" width="13.7265625" bestFit="1" customWidth="1"/>
    <col min="31" max="31" width="7.08984375" bestFit="1" customWidth="1"/>
    <col min="32" max="32" width="9.81640625" bestFit="1" customWidth="1"/>
    <col min="33" max="33" width="9.453125" bestFit="1" customWidth="1"/>
    <col min="34" max="34" width="10.7265625" bestFit="1" customWidth="1"/>
    <col min="35" max="35" width="10.26953125" bestFit="1" customWidth="1"/>
    <col min="36" max="36" width="13.7265625" bestFit="1" customWidth="1"/>
    <col min="37" max="37" width="17.36328125" bestFit="1" customWidth="1"/>
    <col min="38" max="38" width="13.1796875" bestFit="1" customWidth="1"/>
  </cols>
  <sheetData>
    <row r="1" spans="1:38" ht="15.5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T1" s="1" t="s">
        <v>39</v>
      </c>
    </row>
    <row r="2" spans="1:38" x14ac:dyDescent="0.35">
      <c r="A2" s="2">
        <v>10001</v>
      </c>
      <c r="B2" s="2">
        <v>1102</v>
      </c>
      <c r="C2" s="3">
        <v>45197</v>
      </c>
      <c r="D2" s="3">
        <v>45203</v>
      </c>
      <c r="E2" s="2" t="s">
        <v>33</v>
      </c>
      <c r="F2" s="2" t="s">
        <v>15</v>
      </c>
      <c r="G2" s="2" t="s">
        <v>29</v>
      </c>
      <c r="H2" s="2" t="s">
        <v>30</v>
      </c>
      <c r="I2" s="2" t="s">
        <v>24</v>
      </c>
      <c r="J2" s="2" t="s">
        <v>53</v>
      </c>
      <c r="K2" s="2" t="s">
        <v>13</v>
      </c>
      <c r="L2" s="2">
        <v>7</v>
      </c>
      <c r="M2" s="2">
        <v>2843.87</v>
      </c>
      <c r="N2" s="2">
        <v>0</v>
      </c>
      <c r="O2" s="2">
        <f>L2*M2</f>
        <v>19907.09</v>
      </c>
      <c r="P2" s="2" t="str">
        <f>IF(O2&gt;=15000,"High price","Low price")</f>
        <v>High price</v>
      </c>
      <c r="Q2" s="2" t="str" cm="1">
        <f t="array" ref="Q2">_xlfn.IFS(N2&gt;=10,"HIGH",N2&gt;=5,"MEDIUM",N2&lt;5,"LOW")</f>
        <v>LOW</v>
      </c>
      <c r="R2" s="2" t="str">
        <f>IF(L2&gt;8,"High",IF(L2&gt;4,"Medium","Low"))</f>
        <v>Medium</v>
      </c>
      <c r="T2" s="4" t="s">
        <v>23</v>
      </c>
    </row>
    <row r="3" spans="1:38" x14ac:dyDescent="0.35">
      <c r="A3" s="4">
        <v>10002</v>
      </c>
      <c r="B3" s="4">
        <v>1435</v>
      </c>
      <c r="C3" s="5">
        <v>45199</v>
      </c>
      <c r="D3" s="5">
        <v>45203</v>
      </c>
      <c r="E3" s="4" t="s">
        <v>9</v>
      </c>
      <c r="F3" s="4" t="s">
        <v>19</v>
      </c>
      <c r="G3" s="4" t="s">
        <v>2</v>
      </c>
      <c r="H3" s="4" t="s">
        <v>10</v>
      </c>
      <c r="I3" s="4" t="s">
        <v>4</v>
      </c>
      <c r="J3" s="4" t="s">
        <v>5</v>
      </c>
      <c r="K3" s="4" t="s">
        <v>6</v>
      </c>
      <c r="L3" s="4">
        <v>9</v>
      </c>
      <c r="M3" s="4">
        <v>2525.23</v>
      </c>
      <c r="N3" s="4">
        <v>5</v>
      </c>
      <c r="O3" s="4">
        <f>L3*M3</f>
        <v>22727.07</v>
      </c>
      <c r="P3" s="4" t="str">
        <f>IF(O3&gt;=15000,"High price","Low price")</f>
        <v>High price</v>
      </c>
      <c r="Q3" s="4" t="str" cm="1">
        <f t="array" ref="Q3">_xlfn.IFS(N3&gt;=10,"HIGH",N3&gt;=5,"MEDIUM",N3&lt;5,"LOW")</f>
        <v>MEDIUM</v>
      </c>
      <c r="R3" s="4" t="str">
        <f>IF(L3&gt;8,"High",IF(L3&gt;4,"Medium","Low"))</f>
        <v>High</v>
      </c>
    </row>
    <row r="4" spans="1:38" x14ac:dyDescent="0.35">
      <c r="A4" s="4">
        <v>10008</v>
      </c>
      <c r="B4" s="4">
        <v>1020</v>
      </c>
      <c r="C4" s="5">
        <v>45040</v>
      </c>
      <c r="D4" s="5">
        <v>45041</v>
      </c>
      <c r="E4" s="4" t="s">
        <v>0</v>
      </c>
      <c r="F4" s="4" t="s">
        <v>15</v>
      </c>
      <c r="G4" s="4" t="s">
        <v>2</v>
      </c>
      <c r="H4" s="4" t="s">
        <v>30</v>
      </c>
      <c r="I4" s="4" t="s">
        <v>22</v>
      </c>
      <c r="J4" s="4" t="s">
        <v>54</v>
      </c>
      <c r="K4" s="4" t="s">
        <v>18</v>
      </c>
      <c r="L4" s="4">
        <v>4</v>
      </c>
      <c r="M4" s="4">
        <v>2310.83</v>
      </c>
      <c r="N4" s="4">
        <v>10</v>
      </c>
      <c r="O4" s="4">
        <f>L4*M4</f>
        <v>9243.32</v>
      </c>
      <c r="P4" s="4" t="str">
        <f>IF(O4&gt;=15000,"High price","Low price")</f>
        <v>Low price</v>
      </c>
      <c r="Q4" s="4" t="str" cm="1">
        <f t="array" ref="Q4">_xlfn.IFS(N4&gt;=10,"HIGH",N4&gt;=5,"MEDIUM",N4&lt;5,"LOW")</f>
        <v>HIGH</v>
      </c>
      <c r="R4" s="4" t="str">
        <f>IF(L4&gt;8,"High",IF(L4&gt;4,"Medium","Low"))</f>
        <v>Low</v>
      </c>
    </row>
    <row r="5" spans="1:38" ht="15.5" x14ac:dyDescent="0.35">
      <c r="A5" s="4">
        <v>10012</v>
      </c>
      <c r="B5" s="4">
        <v>1214</v>
      </c>
      <c r="C5" s="5">
        <v>45214</v>
      </c>
      <c r="D5" s="5">
        <v>45220</v>
      </c>
      <c r="E5" s="4" t="s">
        <v>0</v>
      </c>
      <c r="F5" s="4" t="s">
        <v>19</v>
      </c>
      <c r="G5" s="4" t="s">
        <v>2</v>
      </c>
      <c r="H5" s="4" t="s">
        <v>3</v>
      </c>
      <c r="I5" s="4" t="s">
        <v>11</v>
      </c>
      <c r="J5" s="4" t="s">
        <v>58</v>
      </c>
      <c r="K5" s="4" t="s">
        <v>13</v>
      </c>
      <c r="L5" s="4">
        <v>6</v>
      </c>
      <c r="M5" s="4">
        <v>272.35000000000002</v>
      </c>
      <c r="N5" s="4">
        <v>5</v>
      </c>
      <c r="O5" s="4">
        <f>L5*M5</f>
        <v>1634.1000000000001</v>
      </c>
      <c r="P5" s="4" t="str">
        <f>IF(O5&gt;=15000,"High price","Low price")</f>
        <v>Low price</v>
      </c>
      <c r="Q5" s="4" t="str" cm="1">
        <f t="array" ref="Q5">_xlfn.IFS(N5&gt;=10,"HIGH",N5&gt;=5,"MEDIUM",N5&lt;5,"LOW")</f>
        <v>MEDIUM</v>
      </c>
      <c r="R5" s="4" t="str">
        <f>IF(L5&gt;8,"High",IF(L5&gt;4,"Medium","Low"))</f>
        <v>Medium</v>
      </c>
      <c r="U5" s="1" t="s">
        <v>35</v>
      </c>
      <c r="V5" s="1" t="s">
        <v>36</v>
      </c>
      <c r="W5" s="1" t="s">
        <v>37</v>
      </c>
      <c r="X5" s="1" t="s">
        <v>38</v>
      </c>
      <c r="Y5" s="1" t="s">
        <v>39</v>
      </c>
      <c r="Z5" s="1" t="s">
        <v>40</v>
      </c>
      <c r="AA5" s="1" t="s">
        <v>41</v>
      </c>
      <c r="AB5" s="1" t="s">
        <v>42</v>
      </c>
      <c r="AC5" s="1" t="s">
        <v>43</v>
      </c>
      <c r="AD5" s="1" t="s">
        <v>44</v>
      </c>
      <c r="AE5" s="1" t="s">
        <v>45</v>
      </c>
      <c r="AF5" s="1" t="s">
        <v>46</v>
      </c>
      <c r="AG5" s="1" t="s">
        <v>47</v>
      </c>
      <c r="AH5" s="1" t="s">
        <v>48</v>
      </c>
      <c r="AI5" s="1" t="s">
        <v>49</v>
      </c>
      <c r="AJ5" s="1" t="s">
        <v>50</v>
      </c>
      <c r="AK5" s="1" t="s">
        <v>51</v>
      </c>
      <c r="AL5" s="1" t="s">
        <v>52</v>
      </c>
    </row>
    <row r="6" spans="1:38" x14ac:dyDescent="0.35">
      <c r="A6" s="4">
        <v>10005</v>
      </c>
      <c r="B6" s="4">
        <v>1106</v>
      </c>
      <c r="C6" s="5">
        <v>45241</v>
      </c>
      <c r="D6" s="5">
        <v>45244</v>
      </c>
      <c r="E6" s="4" t="s">
        <v>23</v>
      </c>
      <c r="F6" s="4" t="s">
        <v>55</v>
      </c>
      <c r="G6" s="4" t="s">
        <v>20</v>
      </c>
      <c r="H6" s="4" t="s">
        <v>30</v>
      </c>
      <c r="I6" s="4" t="s">
        <v>22</v>
      </c>
      <c r="J6" s="4" t="s">
        <v>56</v>
      </c>
      <c r="K6" s="4" t="s">
        <v>13</v>
      </c>
      <c r="L6" s="4">
        <v>7</v>
      </c>
      <c r="M6" s="4">
        <v>3511.47</v>
      </c>
      <c r="N6" s="4">
        <v>20</v>
      </c>
      <c r="O6" s="4">
        <f>L6*M6</f>
        <v>24580.289999999997</v>
      </c>
      <c r="P6" s="4" t="str">
        <f>IF(O6&gt;=15000,"High price","Low price")</f>
        <v>High price</v>
      </c>
      <c r="Q6" s="4" t="str" cm="1">
        <f t="array" ref="Q6">_xlfn.IFS(N6&gt;=10,"HIGH",N6&gt;=5,"MEDIUM",N6&lt;5,"LOW")</f>
        <v>HIGH</v>
      </c>
      <c r="R6" s="4" t="str">
        <f>IF(L6&gt;8,"High",IF(L6&gt;4,"Medium","Low"))</f>
        <v>Medium</v>
      </c>
      <c r="U6" s="4">
        <v>10005</v>
      </c>
      <c r="V6" s="4">
        <v>1106</v>
      </c>
      <c r="W6" s="5">
        <v>45241</v>
      </c>
      <c r="X6" s="5">
        <v>45244</v>
      </c>
      <c r="Y6" s="4" t="s">
        <v>23</v>
      </c>
      <c r="Z6" s="4" t="s">
        <v>55</v>
      </c>
      <c r="AA6" s="4" t="s">
        <v>20</v>
      </c>
      <c r="AB6" s="4" t="s">
        <v>30</v>
      </c>
      <c r="AC6" s="4" t="s">
        <v>22</v>
      </c>
      <c r="AD6" s="4" t="s">
        <v>56</v>
      </c>
      <c r="AE6" s="4" t="s">
        <v>13</v>
      </c>
      <c r="AF6" s="4">
        <v>7</v>
      </c>
      <c r="AG6" s="4">
        <v>3511.47</v>
      </c>
      <c r="AH6" s="4">
        <v>20</v>
      </c>
      <c r="AI6" s="4">
        <v>24580.289999999997</v>
      </c>
      <c r="AJ6" s="4" t="s">
        <v>28</v>
      </c>
      <c r="AK6" s="4" t="s">
        <v>14</v>
      </c>
      <c r="AL6" s="4" t="s">
        <v>8</v>
      </c>
    </row>
    <row r="7" spans="1:38" x14ac:dyDescent="0.35">
      <c r="A7" s="10">
        <v>10014</v>
      </c>
      <c r="B7" s="10">
        <v>1458</v>
      </c>
      <c r="C7" s="11">
        <v>45039</v>
      </c>
      <c r="D7" s="11">
        <v>45045</v>
      </c>
      <c r="E7" s="10" t="s">
        <v>23</v>
      </c>
      <c r="F7" s="10" t="s">
        <v>55</v>
      </c>
      <c r="G7" s="10" t="s">
        <v>20</v>
      </c>
      <c r="H7" s="10" t="s">
        <v>16</v>
      </c>
      <c r="I7" s="10" t="s">
        <v>4</v>
      </c>
      <c r="J7" s="10" t="s">
        <v>17</v>
      </c>
      <c r="K7" s="10" t="s">
        <v>6</v>
      </c>
      <c r="L7" s="10">
        <v>8</v>
      </c>
      <c r="M7" s="10">
        <v>1074.27</v>
      </c>
      <c r="N7" s="10">
        <v>15</v>
      </c>
      <c r="O7" s="10">
        <f>L7*M7</f>
        <v>8594.16</v>
      </c>
      <c r="P7" s="10" t="str">
        <f>IF(O7&gt;=15000,"High price","Low price")</f>
        <v>Low price</v>
      </c>
      <c r="Q7" s="10" t="str" cm="1">
        <f t="array" ref="Q7">_xlfn.IFS(N7&gt;=10,"HIGH",N7&gt;=5,"MEDIUM",N7&lt;5,"LOW")</f>
        <v>HIGH</v>
      </c>
      <c r="R7" s="10" t="str">
        <f>IF(L7&gt;8,"High",IF(L7&gt;4,"Medium","Low"))</f>
        <v>Medium</v>
      </c>
      <c r="U7" s="10">
        <v>10014</v>
      </c>
      <c r="V7" s="10">
        <v>1458</v>
      </c>
      <c r="W7" s="11">
        <v>45039</v>
      </c>
      <c r="X7" s="11">
        <v>45045</v>
      </c>
      <c r="Y7" s="10" t="s">
        <v>23</v>
      </c>
      <c r="Z7" s="10" t="s">
        <v>55</v>
      </c>
      <c r="AA7" s="10" t="s">
        <v>20</v>
      </c>
      <c r="AB7" s="10" t="s">
        <v>16</v>
      </c>
      <c r="AC7" s="10" t="s">
        <v>4</v>
      </c>
      <c r="AD7" s="10" t="s">
        <v>17</v>
      </c>
      <c r="AE7" s="10" t="s">
        <v>6</v>
      </c>
      <c r="AF7" s="10">
        <v>8</v>
      </c>
      <c r="AG7" s="10">
        <v>1074.27</v>
      </c>
      <c r="AH7" s="10">
        <v>15</v>
      </c>
      <c r="AI7" s="10">
        <v>8594.16</v>
      </c>
      <c r="AJ7" s="10" t="s">
        <v>7</v>
      </c>
      <c r="AK7" s="10" t="s">
        <v>14</v>
      </c>
      <c r="AL7" s="10" t="s">
        <v>8</v>
      </c>
    </row>
    <row r="8" spans="1:38" x14ac:dyDescent="0.35">
      <c r="A8" s="10">
        <v>10006</v>
      </c>
      <c r="B8" s="10">
        <v>1071</v>
      </c>
      <c r="C8" s="11">
        <v>45260</v>
      </c>
      <c r="D8" s="11">
        <v>45263</v>
      </c>
      <c r="E8" s="10" t="s">
        <v>57</v>
      </c>
      <c r="F8" s="10" t="s">
        <v>27</v>
      </c>
      <c r="G8" s="10" t="s">
        <v>2</v>
      </c>
      <c r="H8" s="10" t="s">
        <v>21</v>
      </c>
      <c r="I8" s="10" t="s">
        <v>24</v>
      </c>
      <c r="J8" s="10" t="s">
        <v>25</v>
      </c>
      <c r="K8" s="10" t="s">
        <v>26</v>
      </c>
      <c r="L8" s="10">
        <v>3</v>
      </c>
      <c r="M8" s="10">
        <v>3189.55</v>
      </c>
      <c r="N8" s="10">
        <v>10</v>
      </c>
      <c r="O8" s="10">
        <f>L8*M8</f>
        <v>9568.6500000000015</v>
      </c>
      <c r="P8" s="10" t="str">
        <f>IF(O8&gt;=15000,"High price","Low price")</f>
        <v>Low price</v>
      </c>
      <c r="Q8" s="10" t="str" cm="1">
        <f t="array" ref="Q8">_xlfn.IFS(N8&gt;=10,"HIGH",N8&gt;=5,"MEDIUM",N8&lt;5,"LOW")</f>
        <v>HIGH</v>
      </c>
      <c r="R8" s="10" t="str">
        <f>IF(L8&gt;8,"High",IF(L8&gt;4,"Medium","Low"))</f>
        <v>Low</v>
      </c>
    </row>
    <row r="9" spans="1:38" x14ac:dyDescent="0.35">
      <c r="A9" s="10">
        <v>10015</v>
      </c>
      <c r="B9" s="10">
        <v>1087</v>
      </c>
      <c r="C9" s="11">
        <v>45048</v>
      </c>
      <c r="D9" s="11">
        <v>45057</v>
      </c>
      <c r="E9" s="10" t="s">
        <v>57</v>
      </c>
      <c r="F9" s="10" t="s">
        <v>19</v>
      </c>
      <c r="G9" s="10" t="s">
        <v>2</v>
      </c>
      <c r="H9" s="10" t="s">
        <v>30</v>
      </c>
      <c r="I9" s="10" t="s">
        <v>59</v>
      </c>
      <c r="J9" s="10" t="s">
        <v>60</v>
      </c>
      <c r="K9" s="10" t="s">
        <v>13</v>
      </c>
      <c r="L9" s="10">
        <v>9</v>
      </c>
      <c r="M9" s="10">
        <v>705.59</v>
      </c>
      <c r="N9" s="10">
        <v>10</v>
      </c>
      <c r="O9" s="10">
        <f>L9*M9</f>
        <v>6350.31</v>
      </c>
      <c r="P9" s="10" t="str">
        <f>IF(O9&gt;=15000,"High price","Low price")</f>
        <v>Low price</v>
      </c>
      <c r="Q9" s="10" t="str" cm="1">
        <f t="array" ref="Q9">_xlfn.IFS(N9&gt;=10,"HIGH",N9&gt;=5,"MEDIUM",N9&lt;5,"LOW")</f>
        <v>HIGH</v>
      </c>
      <c r="R9" s="10" t="str">
        <f>IF(L9&gt;8,"High",IF(L9&gt;4,"Medium","Low"))</f>
        <v>High</v>
      </c>
    </row>
    <row r="10" spans="1:38" x14ac:dyDescent="0.35">
      <c r="A10" s="10">
        <v>10013</v>
      </c>
      <c r="B10" s="10">
        <v>1330</v>
      </c>
      <c r="C10" s="11">
        <v>45100</v>
      </c>
      <c r="D10" s="11">
        <v>45107</v>
      </c>
      <c r="E10" s="10" t="s">
        <v>15</v>
      </c>
      <c r="F10" s="10" t="s">
        <v>19</v>
      </c>
      <c r="G10" s="10" t="s">
        <v>29</v>
      </c>
      <c r="H10" s="10" t="s">
        <v>16</v>
      </c>
      <c r="I10" s="10" t="s">
        <v>24</v>
      </c>
      <c r="J10" s="10" t="s">
        <v>25</v>
      </c>
      <c r="K10" s="10" t="s">
        <v>13</v>
      </c>
      <c r="L10" s="10">
        <v>8</v>
      </c>
      <c r="M10" s="10">
        <v>3160.9</v>
      </c>
      <c r="N10" s="10">
        <v>0</v>
      </c>
      <c r="O10" s="10">
        <f>L10*M10</f>
        <v>25287.200000000001</v>
      </c>
      <c r="P10" s="10" t="str">
        <f>IF(O10&gt;=15000,"High price","Low price")</f>
        <v>High price</v>
      </c>
      <c r="Q10" s="10" t="str" cm="1">
        <f t="array" ref="Q10">_xlfn.IFS(N10&gt;=10,"HIGH",N10&gt;=5,"MEDIUM",N10&lt;5,"LOW")</f>
        <v>LOW</v>
      </c>
      <c r="R10" s="10" t="str">
        <f>IF(L10&gt;8,"High",IF(L10&gt;4,"Medium","Low"))</f>
        <v>Medium</v>
      </c>
    </row>
    <row r="11" spans="1:38" x14ac:dyDescent="0.35">
      <c r="A11" s="8">
        <v>10003</v>
      </c>
      <c r="B11" s="8">
        <v>1860</v>
      </c>
      <c r="C11" s="9">
        <v>45109</v>
      </c>
      <c r="D11" s="9">
        <v>45114</v>
      </c>
      <c r="E11" s="8" t="s">
        <v>33</v>
      </c>
      <c r="F11" s="8" t="s">
        <v>1</v>
      </c>
      <c r="G11" s="8" t="s">
        <v>20</v>
      </c>
      <c r="H11" s="8" t="s">
        <v>10</v>
      </c>
      <c r="I11" s="8" t="s">
        <v>22</v>
      </c>
      <c r="J11" s="8" t="s">
        <v>54</v>
      </c>
      <c r="K11" s="8" t="s">
        <v>26</v>
      </c>
      <c r="L11" s="8">
        <v>6</v>
      </c>
      <c r="M11" s="8">
        <v>3474.34</v>
      </c>
      <c r="N11" s="8">
        <v>15</v>
      </c>
      <c r="O11" s="8">
        <f>L11*M11</f>
        <v>20846.04</v>
      </c>
      <c r="P11" s="8" t="str">
        <f>IF(O11&gt;=15000,"High price","Low price")</f>
        <v>High price</v>
      </c>
      <c r="Q11" s="8" t="str" cm="1">
        <f t="array" ref="Q11">_xlfn.IFS(N11&gt;=10,"HIGH",N11&gt;=5,"MEDIUM",N11&lt;5,"LOW")</f>
        <v>HIGH</v>
      </c>
      <c r="R11" s="8" t="str">
        <f>IF(L11&gt;8,"High",IF(L11&gt;4,"Medium","Low"))</f>
        <v>Medium</v>
      </c>
    </row>
    <row r="12" spans="1:38" x14ac:dyDescent="0.35">
      <c r="A12" s="8">
        <v>10009</v>
      </c>
      <c r="B12" s="8">
        <v>1614</v>
      </c>
      <c r="C12" s="9">
        <v>45204</v>
      </c>
      <c r="D12" s="9">
        <v>45213</v>
      </c>
      <c r="E12" s="8" t="s">
        <v>33</v>
      </c>
      <c r="F12" s="8" t="s">
        <v>1</v>
      </c>
      <c r="G12" s="8" t="s">
        <v>2</v>
      </c>
      <c r="H12" s="8" t="s">
        <v>10</v>
      </c>
      <c r="I12" s="8" t="s">
        <v>22</v>
      </c>
      <c r="J12" s="8" t="s">
        <v>34</v>
      </c>
      <c r="K12" s="8" t="s">
        <v>6</v>
      </c>
      <c r="L12" s="8">
        <v>5</v>
      </c>
      <c r="M12" s="8">
        <v>1098.04</v>
      </c>
      <c r="N12" s="8">
        <v>15</v>
      </c>
      <c r="O12" s="8">
        <f>L12*M12</f>
        <v>5490.2</v>
      </c>
      <c r="P12" s="8" t="str">
        <f>IF(O12&gt;=15000,"High price","Low price")</f>
        <v>Low price</v>
      </c>
      <c r="Q12" s="8" t="str" cm="1">
        <f t="array" ref="Q12">_xlfn.IFS(N12&gt;=10,"HIGH",N12&gt;=5,"MEDIUM",N12&lt;5,"LOW")</f>
        <v>HIGH</v>
      </c>
      <c r="R12" s="8" t="str">
        <f>IF(L12&gt;8,"High",IF(L12&gt;4,"Medium","Low"))</f>
        <v>Medium</v>
      </c>
    </row>
    <row r="13" spans="1:38" x14ac:dyDescent="0.35">
      <c r="A13" s="6">
        <v>10004</v>
      </c>
      <c r="B13" s="6">
        <v>1270</v>
      </c>
      <c r="C13" s="7">
        <v>45079</v>
      </c>
      <c r="D13" s="7">
        <v>45087</v>
      </c>
      <c r="E13" s="6" t="s">
        <v>32</v>
      </c>
      <c r="F13" s="6" t="s">
        <v>1</v>
      </c>
      <c r="G13" s="6" t="s">
        <v>2</v>
      </c>
      <c r="H13" s="6" t="s">
        <v>16</v>
      </c>
      <c r="I13" s="6" t="s">
        <v>4</v>
      </c>
      <c r="J13" s="6" t="s">
        <v>17</v>
      </c>
      <c r="K13" s="6" t="s">
        <v>13</v>
      </c>
      <c r="L13" s="6">
        <v>1</v>
      </c>
      <c r="M13" s="6">
        <v>1008.79</v>
      </c>
      <c r="N13" s="6">
        <v>15</v>
      </c>
      <c r="O13" s="6">
        <f>L13*M13</f>
        <v>1008.79</v>
      </c>
      <c r="P13" s="6" t="str">
        <f>IF(O13&gt;=15000,"High price","Low price")</f>
        <v>Low price</v>
      </c>
      <c r="Q13" s="6" t="str" cm="1">
        <f t="array" ref="Q13">_xlfn.IFS(N13&gt;=10,"HIGH",N13&gt;=5,"MEDIUM",N13&lt;5,"LOW")</f>
        <v>HIGH</v>
      </c>
      <c r="R13" s="6" t="str">
        <f>IF(L13&gt;8,"High",IF(L13&gt;4,"Medium","Low"))</f>
        <v>Low</v>
      </c>
    </row>
    <row r="14" spans="1:38" x14ac:dyDescent="0.35">
      <c r="A14" s="6">
        <v>10007</v>
      </c>
      <c r="B14" s="6">
        <v>1700</v>
      </c>
      <c r="C14" s="7">
        <v>45050</v>
      </c>
      <c r="D14" s="7">
        <v>45054</v>
      </c>
      <c r="E14" s="6" t="s">
        <v>32</v>
      </c>
      <c r="F14" s="6" t="s">
        <v>27</v>
      </c>
      <c r="G14" s="6" t="s">
        <v>29</v>
      </c>
      <c r="H14" s="6" t="s">
        <v>3</v>
      </c>
      <c r="I14" s="6" t="s">
        <v>22</v>
      </c>
      <c r="J14" s="6" t="s">
        <v>54</v>
      </c>
      <c r="K14" s="6" t="s">
        <v>31</v>
      </c>
      <c r="L14" s="6">
        <v>5</v>
      </c>
      <c r="M14" s="6">
        <v>3030.42</v>
      </c>
      <c r="N14" s="6">
        <v>10</v>
      </c>
      <c r="O14" s="6">
        <f>L14*M14</f>
        <v>15152.1</v>
      </c>
      <c r="P14" s="6" t="str">
        <f>IF(O14&gt;=15000,"High price","Low price")</f>
        <v>High price</v>
      </c>
      <c r="Q14" s="6" t="str" cm="1">
        <f t="array" ref="Q14">_xlfn.IFS(N14&gt;=10,"HIGH",N14&gt;=5,"MEDIUM",N14&lt;5,"LOW")</f>
        <v>HIGH</v>
      </c>
      <c r="R14" s="6" t="str">
        <f>IF(L14&gt;8,"High",IF(L14&gt;4,"Medium","Low"))</f>
        <v>Medium</v>
      </c>
    </row>
    <row r="15" spans="1:38" x14ac:dyDescent="0.35">
      <c r="A15" s="6">
        <v>10010</v>
      </c>
      <c r="B15" s="6">
        <v>1121</v>
      </c>
      <c r="C15" s="7">
        <v>45139</v>
      </c>
      <c r="D15" s="7">
        <v>45147</v>
      </c>
      <c r="E15" s="6" t="s">
        <v>32</v>
      </c>
      <c r="F15" s="6" t="s">
        <v>55</v>
      </c>
      <c r="G15" s="6" t="s">
        <v>2</v>
      </c>
      <c r="H15" s="6" t="s">
        <v>16</v>
      </c>
      <c r="I15" s="6" t="s">
        <v>11</v>
      </c>
      <c r="J15" s="6" t="s">
        <v>12</v>
      </c>
      <c r="K15" s="6" t="s">
        <v>18</v>
      </c>
      <c r="L15" s="6">
        <v>5</v>
      </c>
      <c r="M15" s="6">
        <v>1780.66</v>
      </c>
      <c r="N15" s="6">
        <v>20</v>
      </c>
      <c r="O15" s="6">
        <f>L15*M15</f>
        <v>8903.3000000000011</v>
      </c>
      <c r="P15" s="6" t="str">
        <f>IF(O15&gt;=15000,"High price","Low price")</f>
        <v>Low price</v>
      </c>
      <c r="Q15" s="6" t="str" cm="1">
        <f t="array" ref="Q15">_xlfn.IFS(N15&gt;=10,"HIGH",N15&gt;=5,"MEDIUM",N15&lt;5,"LOW")</f>
        <v>HIGH</v>
      </c>
      <c r="R15" s="6" t="str">
        <f>IF(L15&gt;8,"High",IF(L15&gt;4,"Medium","Low"))</f>
        <v>Medium</v>
      </c>
    </row>
    <row r="16" spans="1:38" x14ac:dyDescent="0.35">
      <c r="A16" s="6">
        <v>10011</v>
      </c>
      <c r="B16" s="6">
        <v>1466</v>
      </c>
      <c r="C16" s="7">
        <v>45098</v>
      </c>
      <c r="D16" s="7">
        <v>45106</v>
      </c>
      <c r="E16" s="6" t="s">
        <v>32</v>
      </c>
      <c r="F16" s="6" t="s">
        <v>55</v>
      </c>
      <c r="G16" s="6" t="s">
        <v>29</v>
      </c>
      <c r="H16" s="6" t="s">
        <v>16</v>
      </c>
      <c r="I16" s="6" t="s">
        <v>11</v>
      </c>
      <c r="J16" s="6" t="s">
        <v>12</v>
      </c>
      <c r="K16" s="6" t="s">
        <v>26</v>
      </c>
      <c r="L16" s="6">
        <v>6</v>
      </c>
      <c r="M16" s="6">
        <v>3205.25</v>
      </c>
      <c r="N16" s="6">
        <v>0</v>
      </c>
      <c r="O16" s="6">
        <f>L16*M16</f>
        <v>19231.5</v>
      </c>
      <c r="P16" s="6" t="str">
        <f>IF(O16&gt;=15000,"High price","Low price")</f>
        <v>High price</v>
      </c>
      <c r="Q16" s="6" t="str" cm="1">
        <f t="array" ref="Q16">_xlfn.IFS(N16&gt;=10,"HIGH",N16&gt;=5,"MEDIUM",N16&lt;5,"LOW")</f>
        <v>LOW</v>
      </c>
      <c r="R16" s="6" t="str">
        <f>IF(L16&gt;8,"High",IF(L16&gt;4,"Medium","Low"))</f>
        <v>Medium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CA16-C17A-4A9B-B80F-E04A6ED2C21D}">
  <dimension ref="A1:R16"/>
  <sheetViews>
    <sheetView tabSelected="1" workbookViewId="0">
      <selection activeCell="F7" sqref="F7"/>
    </sheetView>
  </sheetViews>
  <sheetFormatPr defaultRowHeight="14.5" x14ac:dyDescent="0.35"/>
  <cols>
    <col min="1" max="1" width="11.1796875" bestFit="1" customWidth="1"/>
    <col min="2" max="2" width="8.26953125" bestFit="1" customWidth="1"/>
    <col min="3" max="3" width="12.81640625" bestFit="1" customWidth="1"/>
    <col min="4" max="4" width="6.36328125" bestFit="1" customWidth="1"/>
    <col min="5" max="5" width="10" bestFit="1" customWidth="1"/>
    <col min="6" max="6" width="11.08984375" bestFit="1" customWidth="1"/>
    <col min="7" max="7" width="13.36328125" bestFit="1" customWidth="1"/>
    <col min="8" max="8" width="16.54296875" bestFit="1" customWidth="1"/>
    <col min="9" max="9" width="16.36328125" bestFit="1" customWidth="1"/>
    <col min="10" max="10" width="13.7265625" bestFit="1" customWidth="1"/>
    <col min="11" max="11" width="12.81640625" bestFit="1" customWidth="1"/>
    <col min="12" max="12" width="9.81640625" bestFit="1" customWidth="1"/>
    <col min="13" max="13" width="9.453125" bestFit="1" customWidth="1"/>
    <col min="14" max="14" width="10.7265625" bestFit="1" customWidth="1"/>
    <col min="15" max="15" width="10.26953125" bestFit="1" customWidth="1"/>
    <col min="16" max="16" width="13.7265625" bestFit="1" customWidth="1"/>
    <col min="17" max="17" width="17.36328125" bestFit="1" customWidth="1"/>
    <col min="18" max="18" width="13.1796875" bestFit="1" customWidth="1"/>
  </cols>
  <sheetData>
    <row r="1" spans="1:18" ht="18.5" x14ac:dyDescent="0.45">
      <c r="A1" s="16" t="s">
        <v>61</v>
      </c>
      <c r="B1" s="16" t="s">
        <v>62</v>
      </c>
      <c r="C1" s="16" t="s">
        <v>63</v>
      </c>
      <c r="D1" s="16" t="s">
        <v>64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8.5" x14ac:dyDescent="0.45">
      <c r="A2" s="17" t="s">
        <v>70</v>
      </c>
      <c r="B2" s="17" t="s">
        <v>71</v>
      </c>
      <c r="C2" s="18">
        <v>45295</v>
      </c>
      <c r="D2" s="19">
        <v>90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18.5" x14ac:dyDescent="0.45">
      <c r="A3" s="17" t="s">
        <v>67</v>
      </c>
      <c r="B3" s="17" t="s">
        <v>68</v>
      </c>
      <c r="C3" s="18">
        <v>45293</v>
      </c>
      <c r="D3" s="19">
        <v>150</v>
      </c>
      <c r="E3" s="14"/>
      <c r="F3" s="14"/>
      <c r="G3" s="14"/>
      <c r="H3" s="20" t="s">
        <v>61</v>
      </c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8.5" x14ac:dyDescent="0.45">
      <c r="A4" s="17" t="s">
        <v>65</v>
      </c>
      <c r="B4" s="17" t="s">
        <v>68</v>
      </c>
      <c r="C4" s="18">
        <v>45297</v>
      </c>
      <c r="D4" s="19">
        <v>130</v>
      </c>
      <c r="E4" s="14"/>
      <c r="F4" s="14"/>
      <c r="G4" s="14"/>
      <c r="H4" s="12" t="s">
        <v>67</v>
      </c>
      <c r="I4" s="16" t="s">
        <v>61</v>
      </c>
      <c r="J4" s="16" t="s">
        <v>62</v>
      </c>
      <c r="K4" s="16" t="s">
        <v>63</v>
      </c>
      <c r="L4" s="16" t="s">
        <v>64</v>
      </c>
      <c r="M4" s="14"/>
      <c r="N4" s="14"/>
      <c r="O4" s="14"/>
      <c r="P4" s="14"/>
      <c r="Q4" s="14"/>
      <c r="R4" s="14"/>
    </row>
    <row r="5" spans="1:18" ht="18.5" x14ac:dyDescent="0.45">
      <c r="A5" s="17" t="s">
        <v>70</v>
      </c>
      <c r="B5" s="17" t="s">
        <v>66</v>
      </c>
      <c r="C5" s="18">
        <v>45298</v>
      </c>
      <c r="D5" s="19">
        <v>300</v>
      </c>
      <c r="E5" s="14"/>
      <c r="F5" s="14"/>
      <c r="G5" s="14"/>
      <c r="H5" s="14"/>
      <c r="I5" s="17" t="s">
        <v>67</v>
      </c>
      <c r="J5" s="17" t="s">
        <v>68</v>
      </c>
      <c r="K5" s="18">
        <v>45293</v>
      </c>
      <c r="L5" s="19">
        <v>150</v>
      </c>
      <c r="M5" s="14"/>
      <c r="N5" s="14"/>
      <c r="O5" s="14"/>
      <c r="P5" s="14"/>
      <c r="Q5" s="14"/>
      <c r="R5" s="14"/>
    </row>
    <row r="6" spans="1:18" ht="18.5" x14ac:dyDescent="0.45">
      <c r="A6" s="17" t="s">
        <v>67</v>
      </c>
      <c r="B6" s="17" t="s">
        <v>66</v>
      </c>
      <c r="C6" s="18">
        <v>45296</v>
      </c>
      <c r="D6" s="19">
        <v>220</v>
      </c>
      <c r="E6" s="14"/>
      <c r="F6" s="14"/>
      <c r="G6" s="14"/>
      <c r="H6" s="14"/>
      <c r="I6" s="17" t="s">
        <v>67</v>
      </c>
      <c r="J6" s="17" t="s">
        <v>66</v>
      </c>
      <c r="K6" s="18">
        <v>45296</v>
      </c>
      <c r="L6" s="19">
        <v>220</v>
      </c>
      <c r="M6" s="14"/>
      <c r="N6" s="14"/>
      <c r="O6" s="14"/>
      <c r="P6" s="14"/>
      <c r="Q6" s="14"/>
      <c r="R6" s="14"/>
    </row>
    <row r="7" spans="1:18" ht="18.5" x14ac:dyDescent="0.45">
      <c r="A7" s="17" t="s">
        <v>65</v>
      </c>
      <c r="B7" s="17" t="s">
        <v>66</v>
      </c>
      <c r="C7" s="18">
        <v>45292</v>
      </c>
      <c r="D7" s="19">
        <v>120</v>
      </c>
      <c r="E7" s="14"/>
      <c r="F7" s="14"/>
      <c r="G7" s="14"/>
      <c r="H7" s="14"/>
      <c r="I7" s="17" t="s">
        <v>67</v>
      </c>
      <c r="J7" s="17" t="s">
        <v>69</v>
      </c>
      <c r="K7" s="18">
        <v>45299</v>
      </c>
      <c r="L7" s="19">
        <v>80</v>
      </c>
      <c r="M7" s="14"/>
      <c r="N7" s="14"/>
      <c r="O7" s="14"/>
      <c r="P7" s="14"/>
      <c r="Q7" s="14"/>
      <c r="R7" s="14"/>
    </row>
    <row r="8" spans="1:18" ht="18.5" x14ac:dyDescent="0.45">
      <c r="A8" s="17" t="s">
        <v>65</v>
      </c>
      <c r="B8" s="17" t="s">
        <v>69</v>
      </c>
      <c r="C8" s="18">
        <v>45294</v>
      </c>
      <c r="D8" s="19">
        <v>200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 ht="18.5" x14ac:dyDescent="0.45">
      <c r="A9" s="17" t="s">
        <v>67</v>
      </c>
      <c r="B9" s="17" t="s">
        <v>69</v>
      </c>
      <c r="C9" s="18">
        <v>45299</v>
      </c>
      <c r="D9" s="19">
        <v>80</v>
      </c>
      <c r="E9" s="14"/>
      <c r="F9" s="14"/>
      <c r="G9" s="14"/>
      <c r="H9" s="16" t="s">
        <v>64</v>
      </c>
      <c r="I9" s="14"/>
      <c r="J9" s="14"/>
      <c r="K9" s="14"/>
      <c r="L9" s="14"/>
      <c r="M9" s="14"/>
      <c r="N9" s="14"/>
      <c r="O9" s="14"/>
      <c r="P9" s="14"/>
      <c r="Q9" s="14"/>
      <c r="R9" s="14"/>
    </row>
    <row r="10" spans="1:18" x14ac:dyDescent="0.35">
      <c r="A10" s="14"/>
      <c r="B10" s="14"/>
      <c r="C10" s="15"/>
      <c r="D10" s="15"/>
      <c r="E10" s="14"/>
      <c r="F10" s="14"/>
      <c r="G10" s="14"/>
      <c r="H10" s="12" t="s">
        <v>72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spans="1:18" ht="18.5" x14ac:dyDescent="0.45">
      <c r="A11" s="14"/>
      <c r="B11" s="14"/>
      <c r="C11" s="15"/>
      <c r="D11" s="15"/>
      <c r="E11" s="14"/>
      <c r="F11" s="14"/>
      <c r="G11" s="14"/>
      <c r="H11" s="14"/>
      <c r="I11" s="16" t="s">
        <v>61</v>
      </c>
      <c r="J11" s="16" t="s">
        <v>62</v>
      </c>
      <c r="K11" s="16" t="s">
        <v>63</v>
      </c>
      <c r="L11" s="16" t="s">
        <v>64</v>
      </c>
      <c r="M11" s="14"/>
      <c r="N11" s="14"/>
      <c r="O11" s="14"/>
      <c r="P11" s="14"/>
      <c r="Q11" s="14"/>
      <c r="R11" s="14"/>
    </row>
    <row r="12" spans="1:18" ht="18.5" x14ac:dyDescent="0.45">
      <c r="A12" s="14"/>
      <c r="B12" s="14"/>
      <c r="C12" s="15"/>
      <c r="D12" s="15"/>
      <c r="E12" s="14"/>
      <c r="F12" s="14"/>
      <c r="G12" s="14"/>
      <c r="H12" s="14"/>
      <c r="I12" s="17" t="s">
        <v>70</v>
      </c>
      <c r="J12" s="17" t="s">
        <v>66</v>
      </c>
      <c r="K12" s="18">
        <v>45298</v>
      </c>
      <c r="L12" s="19">
        <v>300</v>
      </c>
      <c r="M12" s="14"/>
      <c r="N12" s="14"/>
      <c r="O12" s="14"/>
      <c r="P12" s="14"/>
      <c r="Q12" s="14"/>
      <c r="R12" s="14"/>
    </row>
    <row r="13" spans="1:18" ht="18.5" x14ac:dyDescent="0.45">
      <c r="A13" s="14"/>
      <c r="B13" s="14"/>
      <c r="C13" s="15"/>
      <c r="D13" s="15"/>
      <c r="E13" s="14"/>
      <c r="F13" s="14"/>
      <c r="G13" s="14"/>
      <c r="H13" s="14"/>
      <c r="I13" s="17" t="s">
        <v>67</v>
      </c>
      <c r="J13" s="17" t="s">
        <v>66</v>
      </c>
      <c r="K13" s="18">
        <v>45296</v>
      </c>
      <c r="L13" s="19">
        <v>220</v>
      </c>
      <c r="M13" s="14"/>
      <c r="N13" s="14"/>
      <c r="O13" s="14"/>
      <c r="P13" s="14"/>
      <c r="Q13" s="14"/>
      <c r="R13" s="14"/>
    </row>
    <row r="14" spans="1:18" ht="18.5" x14ac:dyDescent="0.45">
      <c r="A14" s="14"/>
      <c r="B14" s="14"/>
      <c r="C14" s="15"/>
      <c r="D14" s="15"/>
      <c r="E14" s="14"/>
      <c r="F14" s="14"/>
      <c r="G14" s="14"/>
      <c r="H14" s="14"/>
      <c r="I14" s="17" t="s">
        <v>65</v>
      </c>
      <c r="J14" s="17" t="s">
        <v>69</v>
      </c>
      <c r="K14" s="18">
        <v>45294</v>
      </c>
      <c r="L14" s="19">
        <v>200</v>
      </c>
      <c r="M14" s="14"/>
      <c r="N14" s="14"/>
      <c r="O14" s="14"/>
      <c r="P14" s="14"/>
      <c r="Q14" s="14"/>
      <c r="R14" s="14"/>
    </row>
    <row r="15" spans="1:18" x14ac:dyDescent="0.35">
      <c r="A15" s="14"/>
      <c r="B15" s="14"/>
      <c r="C15" s="15"/>
      <c r="D15" s="15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 x14ac:dyDescent="0.35">
      <c r="A16" s="14"/>
      <c r="B16" s="14"/>
      <c r="C16" s="15"/>
      <c r="D16" s="15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Sheet1!Criteria</vt:lpstr>
      <vt:lpstr>Sheet2!Criteria</vt:lpstr>
      <vt:lpstr>Sheet1!Extract</vt:lpstr>
      <vt:lpstr>Sheet2!Extract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2026-03-02T04:41:00Z</dcterms:created>
  <dcterms:modified xsi:type="dcterms:W3CDTF">2026-03-02T06:40:17Z</dcterms:modified>
</cp:coreProperties>
</file>