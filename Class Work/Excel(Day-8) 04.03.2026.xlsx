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4629090-10DC-4F60-82AF-398F61C6085A}" xr6:coauthVersionLast="47" xr6:coauthVersionMax="47" xr10:uidLastSave="{00000000-0000-0000-0000-000000000000}"/>
  <bookViews>
    <workbookView xWindow="-110" yWindow="-110" windowWidth="19420" windowHeight="11020" xr2:uid="{7C66AA12-17D7-4C18-9571-79084A8F6F55}"/>
  </bookViews>
  <sheets>
    <sheet name="Sheet1" sheetId="1" r:id="rId1"/>
  </sheets>
  <definedNames>
    <definedName name="_xlnm._FilterDatabase" localSheetId="0" hidden="1">Sheet1!$A$1:$I$11</definedName>
    <definedName name="_xlnm.Criteria" localSheetId="0">Sheet1!$A$23:$B$24</definedName>
    <definedName name="_xlnm.Extract" localSheetId="0">Sheet1!$A$25:$I$25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1" l="1"/>
  <c r="A50" i="1"/>
  <c r="A48" i="1"/>
  <c r="A44" i="1"/>
  <c r="A46" i="1"/>
  <c r="A42" i="1"/>
  <c r="A40" i="1"/>
  <c r="A38" i="1"/>
  <c r="A35" i="1"/>
  <c r="A33" i="1"/>
  <c r="A31" i="1"/>
</calcChain>
</file>

<file path=xl/sharedStrings.xml><?xml version="1.0" encoding="utf-8"?>
<sst xmlns="http://schemas.openxmlformats.org/spreadsheetml/2006/main" count="134" uniqueCount="52">
  <si>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</si>
  <si>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</si>
  <si>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</si>
  <si>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</si>
  <si>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</si>
  <si>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</si>
  <si>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</si>
  <si>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</si>
  <si>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</si>
  <si>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</si>
  <si>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</si>
  <si>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</si>
  <si>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</si>
  <si>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West</t>
  </si>
  <si>
    <t>Priya</t>
  </si>
  <si>
    <t>Phone</t>
  </si>
  <si>
    <t>North</t>
  </si>
  <si>
    <t>Rahul</t>
  </si>
  <si>
    <t>Chair</t>
  </si>
  <si>
    <t>Furniture</t>
  </si>
  <si>
    <t>South</t>
  </si>
  <si>
    <t>Neha</t>
  </si>
  <si>
    <t>Table</t>
  </si>
  <si>
    <t>Desk</t>
  </si>
  <si>
    <t>Q1. Sort Total_Sales from Highest to Lowest.</t>
  </si>
  <si>
    <t>Q2. Filter data to show only "Electronics" category.</t>
  </si>
  <si>
    <t>Q3. Filter sales done by Amit in East region.</t>
  </si>
  <si>
    <t>Q4. Find total sales of all orders.</t>
  </si>
  <si>
    <t>Q5. Find total quantity sold.</t>
  </si>
  <si>
    <t>Q6. Find average Total_Sales.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</si>
  <si>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</si>
  <si>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</si>
  <si>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</si>
  <si>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</si>
  <si>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</si>
  <si>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</si>
  <si>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</si>
  <si>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</si>
  <si>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</si>
  <si>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</si>
  <si>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</si>
  <si>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</si>
  <si>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Total_Quantity</t>
  </si>
  <si>
    <t>Average Total_Sales</t>
  </si>
  <si>
    <t>Average quantity sold per order</t>
  </si>
  <si>
    <t>Count Total number of order</t>
  </si>
  <si>
    <t>Count number of Furniture orders</t>
  </si>
  <si>
    <t>Total sales for Electronics category</t>
  </si>
  <si>
    <t>Total sales done by Amit</t>
  </si>
  <si>
    <t xml:space="preserve"> Total sales of Electronics in East region</t>
  </si>
  <si>
    <t>Total sales by Priya in West region</t>
  </si>
  <si>
    <t>Q.16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</si>
</sst>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2"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6149-8E81-489F-91E3-C4CF917A52EE}">
  <dimension ref="A1:L52"/>
  <sheetViews>
    <sheetView tabSelected="1" workbookViewId="0">
      <selection activeCell="A52" sqref="A52"/>
    </sheetView>
  </sheetViews>
  <sheetFormatPr defaultRowHeight="14.5" x14ac:dyDescent="0.35"/>
  <cols>
    <col min="1" max="1" width="17.26953125" customWidth="1"/>
    <col min="2" max="2" width="10.36328125" bestFit="1" customWidth="1"/>
    <col min="3" max="3" width="7.54296875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  <col min="10" max="10" width="21.54296875" customWidth="1"/>
  </cols>
  <sheetData>
    <row r="1" spans="1:11" ht="1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/>
    </row>
    <row r="2" spans="1:11" x14ac:dyDescent="0.35">
      <c r="A2" s="2">
        <v>1008</v>
      </c>
      <c r="B2" s="3">
        <v>45319</v>
      </c>
      <c r="C2" s="2" t="s">
        <v>20</v>
      </c>
      <c r="D2" s="2" t="s">
        <v>21</v>
      </c>
      <c r="E2" s="2" t="s">
        <v>15</v>
      </c>
      <c r="F2" s="2" t="s">
        <v>12</v>
      </c>
      <c r="G2" s="2">
        <v>6</v>
      </c>
      <c r="H2" s="2">
        <v>20000</v>
      </c>
      <c r="I2" s="2">
        <v>120000</v>
      </c>
      <c r="J2" s="5"/>
      <c r="K2" t="s">
        <v>24</v>
      </c>
    </row>
    <row r="3" spans="1:11" x14ac:dyDescent="0.35">
      <c r="A3" s="2">
        <v>1001</v>
      </c>
      <c r="B3" s="3">
        <v>45296</v>
      </c>
      <c r="C3" s="2" t="s">
        <v>9</v>
      </c>
      <c r="D3" s="2" t="s">
        <v>10</v>
      </c>
      <c r="E3" s="2" t="s">
        <v>11</v>
      </c>
      <c r="F3" s="2" t="s">
        <v>12</v>
      </c>
      <c r="G3" s="2">
        <v>2</v>
      </c>
      <c r="H3" s="2">
        <v>50000</v>
      </c>
      <c r="I3" s="2">
        <v>100000</v>
      </c>
      <c r="J3" s="5"/>
      <c r="K3" t="s">
        <v>25</v>
      </c>
    </row>
    <row r="4" spans="1:11" x14ac:dyDescent="0.35">
      <c r="A4" s="2">
        <v>1002</v>
      </c>
      <c r="B4" s="3">
        <v>45299</v>
      </c>
      <c r="C4" s="2" t="s">
        <v>13</v>
      </c>
      <c r="D4" s="2" t="s">
        <v>14</v>
      </c>
      <c r="E4" s="2" t="s">
        <v>15</v>
      </c>
      <c r="F4" s="2" t="s">
        <v>12</v>
      </c>
      <c r="G4" s="2">
        <v>5</v>
      </c>
      <c r="H4" s="2">
        <v>20000</v>
      </c>
      <c r="I4" s="2">
        <v>100000</v>
      </c>
      <c r="J4" s="5"/>
      <c r="K4" t="s">
        <v>26</v>
      </c>
    </row>
    <row r="5" spans="1:11" x14ac:dyDescent="0.35">
      <c r="A5" s="2">
        <v>1005</v>
      </c>
      <c r="B5" s="3">
        <v>45309</v>
      </c>
      <c r="C5" s="2" t="s">
        <v>9</v>
      </c>
      <c r="D5" s="2" t="s">
        <v>10</v>
      </c>
      <c r="E5" s="2" t="s">
        <v>15</v>
      </c>
      <c r="F5" s="2" t="s">
        <v>12</v>
      </c>
      <c r="G5" s="2">
        <v>4</v>
      </c>
      <c r="H5" s="2">
        <v>20000</v>
      </c>
      <c r="I5" s="2">
        <v>80000</v>
      </c>
      <c r="J5" s="5"/>
      <c r="K5" t="s">
        <v>27</v>
      </c>
    </row>
    <row r="6" spans="1:11" x14ac:dyDescent="0.35">
      <c r="A6" s="2">
        <v>1006</v>
      </c>
      <c r="B6" s="3">
        <v>45311</v>
      </c>
      <c r="C6" s="2" t="s">
        <v>13</v>
      </c>
      <c r="D6" s="2" t="s">
        <v>14</v>
      </c>
      <c r="E6" s="2" t="s">
        <v>11</v>
      </c>
      <c r="F6" s="2" t="s">
        <v>12</v>
      </c>
      <c r="G6" s="2">
        <v>1</v>
      </c>
      <c r="H6" s="2">
        <v>50000</v>
      </c>
      <c r="I6" s="2">
        <v>50000</v>
      </c>
      <c r="J6" s="5"/>
      <c r="K6" t="s">
        <v>28</v>
      </c>
    </row>
    <row r="7" spans="1:11" x14ac:dyDescent="0.35">
      <c r="A7" s="2">
        <v>1009</v>
      </c>
      <c r="B7" s="3">
        <v>45324</v>
      </c>
      <c r="C7" s="2" t="s">
        <v>9</v>
      </c>
      <c r="D7" s="2" t="s">
        <v>10</v>
      </c>
      <c r="E7" s="2" t="s">
        <v>22</v>
      </c>
      <c r="F7" s="2" t="s">
        <v>19</v>
      </c>
      <c r="G7" s="2">
        <v>5</v>
      </c>
      <c r="H7" s="2">
        <v>7000</v>
      </c>
      <c r="I7" s="2">
        <v>35000</v>
      </c>
      <c r="J7" s="5"/>
      <c r="K7" t="s">
        <v>29</v>
      </c>
    </row>
    <row r="8" spans="1:11" x14ac:dyDescent="0.35">
      <c r="A8" s="2">
        <v>1003</v>
      </c>
      <c r="B8" s="3">
        <v>45303</v>
      </c>
      <c r="C8" s="2" t="s">
        <v>16</v>
      </c>
      <c r="D8" s="2" t="s">
        <v>17</v>
      </c>
      <c r="E8" s="2" t="s">
        <v>18</v>
      </c>
      <c r="F8" s="2" t="s">
        <v>19</v>
      </c>
      <c r="G8" s="2">
        <v>10</v>
      </c>
      <c r="H8" s="2">
        <v>3000</v>
      </c>
      <c r="I8" s="2">
        <v>30000</v>
      </c>
      <c r="J8" s="5"/>
      <c r="K8" t="s">
        <v>30</v>
      </c>
    </row>
    <row r="9" spans="1:11" x14ac:dyDescent="0.35">
      <c r="A9" s="2">
        <v>1004</v>
      </c>
      <c r="B9" s="3">
        <v>45306</v>
      </c>
      <c r="C9" s="2" t="s">
        <v>20</v>
      </c>
      <c r="D9" s="2" t="s">
        <v>21</v>
      </c>
      <c r="E9" s="2" t="s">
        <v>22</v>
      </c>
      <c r="F9" s="2" t="s">
        <v>19</v>
      </c>
      <c r="G9" s="2">
        <v>3</v>
      </c>
      <c r="H9" s="2">
        <v>7000</v>
      </c>
      <c r="I9" s="2">
        <v>21000</v>
      </c>
      <c r="J9" s="5"/>
      <c r="K9" t="s">
        <v>31</v>
      </c>
    </row>
    <row r="10" spans="1:11" x14ac:dyDescent="0.35">
      <c r="A10" s="2">
        <v>1010</v>
      </c>
      <c r="B10" s="3">
        <v>45327</v>
      </c>
      <c r="C10" s="2" t="s">
        <v>13</v>
      </c>
      <c r="D10" s="2" t="s">
        <v>14</v>
      </c>
      <c r="E10" s="2" t="s">
        <v>18</v>
      </c>
      <c r="F10" s="2" t="s">
        <v>19</v>
      </c>
      <c r="G10" s="2">
        <v>7</v>
      </c>
      <c r="H10" s="2">
        <v>3000</v>
      </c>
      <c r="I10" s="2">
        <v>21000</v>
      </c>
      <c r="J10" s="5"/>
      <c r="K10" t="s">
        <v>32</v>
      </c>
    </row>
    <row r="11" spans="1:11" x14ac:dyDescent="0.35">
      <c r="A11" s="2">
        <v>1007</v>
      </c>
      <c r="B11" s="3">
        <v>45316</v>
      </c>
      <c r="C11" s="2" t="s">
        <v>16</v>
      </c>
      <c r="D11" s="2" t="s">
        <v>17</v>
      </c>
      <c r="E11" s="2" t="s">
        <v>23</v>
      </c>
      <c r="F11" s="2" t="s">
        <v>19</v>
      </c>
      <c r="G11" s="2">
        <v>2</v>
      </c>
      <c r="H11" s="2">
        <v>10000</v>
      </c>
      <c r="I11" s="2">
        <v>20000</v>
      </c>
      <c r="J11" s="5"/>
      <c r="K11" t="s">
        <v>33</v>
      </c>
    </row>
    <row r="12" spans="1:11" x14ac:dyDescent="0.35">
      <c r="K12" t="s">
        <v>34</v>
      </c>
    </row>
    <row r="13" spans="1:11" x14ac:dyDescent="0.35">
      <c r="K13" t="s">
        <v>35</v>
      </c>
    </row>
    <row r="14" spans="1:11" x14ac:dyDescent="0.35">
      <c r="A14" s="7" t="s">
        <v>5</v>
      </c>
      <c r="K14" t="s">
        <v>36</v>
      </c>
    </row>
    <row r="15" spans="1:11" ht="14.5" customHeight="1" x14ac:dyDescent="0.35">
      <c r="A15" s="2" t="s">
        <v>12</v>
      </c>
      <c r="K15" t="s">
        <v>37</v>
      </c>
    </row>
    <row r="16" spans="1:11" x14ac:dyDescent="0.3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K16" t="s">
        <v>38</v>
      </c>
    </row>
    <row r="17" spans="1:12" x14ac:dyDescent="0.35">
      <c r="A17" s="2">
        <v>1008</v>
      </c>
      <c r="B17" s="3">
        <v>45319</v>
      </c>
      <c r="C17" s="2" t="s">
        <v>20</v>
      </c>
      <c r="D17" s="2" t="s">
        <v>21</v>
      </c>
      <c r="E17" s="2" t="s">
        <v>15</v>
      </c>
      <c r="F17" s="2" t="s">
        <v>12</v>
      </c>
      <c r="G17" s="2">
        <v>6</v>
      </c>
      <c r="H17" s="2">
        <v>20000</v>
      </c>
      <c r="I17" s="2">
        <v>120000</v>
      </c>
      <c r="K17" t="s">
        <v>39</v>
      </c>
    </row>
    <row r="18" spans="1:12" x14ac:dyDescent="0.35">
      <c r="A18" s="2">
        <v>1001</v>
      </c>
      <c r="B18" s="3">
        <v>45296</v>
      </c>
      <c r="C18" s="2" t="s">
        <v>9</v>
      </c>
      <c r="D18" s="2" t="s">
        <v>10</v>
      </c>
      <c r="E18" s="2" t="s">
        <v>11</v>
      </c>
      <c r="F18" s="2" t="s">
        <v>12</v>
      </c>
      <c r="G18" s="2">
        <v>2</v>
      </c>
      <c r="H18" s="2">
        <v>50000</v>
      </c>
      <c r="I18" s="2">
        <v>100000</v>
      </c>
      <c r="K18" s="4"/>
      <c r="L18" s="4" t="s">
        <v>40</v>
      </c>
    </row>
    <row r="19" spans="1:12" x14ac:dyDescent="0.35">
      <c r="A19" s="2">
        <v>1002</v>
      </c>
      <c r="B19" s="3">
        <v>45299</v>
      </c>
      <c r="C19" s="2" t="s">
        <v>13</v>
      </c>
      <c r="D19" s="2" t="s">
        <v>14</v>
      </c>
      <c r="E19" s="2" t="s">
        <v>15</v>
      </c>
      <c r="F19" s="2" t="s">
        <v>12</v>
      </c>
      <c r="G19" s="2">
        <v>5</v>
      </c>
      <c r="H19" s="2">
        <v>20000</v>
      </c>
      <c r="I19" s="2">
        <v>100000</v>
      </c>
      <c r="K19" s="4"/>
      <c r="L19" s="4" t="s">
        <v>41</v>
      </c>
    </row>
    <row r="20" spans="1:12" x14ac:dyDescent="0.35">
      <c r="A20" s="2">
        <v>1005</v>
      </c>
      <c r="B20" s="3">
        <v>45309</v>
      </c>
      <c r="C20" s="2" t="s">
        <v>9</v>
      </c>
      <c r="D20" s="2" t="s">
        <v>10</v>
      </c>
      <c r="E20" s="2" t="s">
        <v>15</v>
      </c>
      <c r="F20" s="2" t="s">
        <v>12</v>
      </c>
      <c r="G20" s="2">
        <v>4</v>
      </c>
      <c r="H20" s="2">
        <v>20000</v>
      </c>
      <c r="I20" s="2">
        <v>80000</v>
      </c>
      <c r="K20" s="4"/>
    </row>
    <row r="21" spans="1:12" x14ac:dyDescent="0.35">
      <c r="A21" s="2">
        <v>1006</v>
      </c>
      <c r="B21" s="3">
        <v>45311</v>
      </c>
      <c r="C21" s="2" t="s">
        <v>13</v>
      </c>
      <c r="D21" s="2" t="s">
        <v>14</v>
      </c>
      <c r="E21" s="2" t="s">
        <v>11</v>
      </c>
      <c r="F21" s="2" t="s">
        <v>12</v>
      </c>
      <c r="G21" s="2">
        <v>1</v>
      </c>
      <c r="H21" s="2">
        <v>50000</v>
      </c>
      <c r="I21" s="2">
        <v>50000</v>
      </c>
      <c r="K21" s="4"/>
    </row>
    <row r="22" spans="1:12" x14ac:dyDescent="0.35">
      <c r="A22" s="5"/>
      <c r="B22" s="6"/>
      <c r="C22" s="5"/>
      <c r="D22" s="5"/>
      <c r="E22" s="5"/>
      <c r="F22" s="5"/>
      <c r="G22" s="5"/>
      <c r="H22" s="5"/>
      <c r="I22" s="5"/>
    </row>
    <row r="23" spans="1:12" x14ac:dyDescent="0.35">
      <c r="A23" s="8" t="s">
        <v>3</v>
      </c>
      <c r="B23" s="1" t="s">
        <v>2</v>
      </c>
      <c r="C23" s="5"/>
      <c r="D23" s="5"/>
      <c r="E23" s="5"/>
      <c r="F23" s="5"/>
      <c r="G23" s="5"/>
      <c r="H23" s="5"/>
      <c r="I23" s="5"/>
    </row>
    <row r="24" spans="1:12" x14ac:dyDescent="0.35">
      <c r="A24" s="2" t="s">
        <v>10</v>
      </c>
      <c r="B24" s="2" t="s">
        <v>9</v>
      </c>
      <c r="C24" s="5"/>
      <c r="D24" s="5"/>
      <c r="E24" s="5"/>
      <c r="F24" s="5"/>
      <c r="G24" s="5"/>
      <c r="H24" s="5"/>
      <c r="I24" s="5"/>
    </row>
    <row r="25" spans="1:12" x14ac:dyDescent="0.3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</row>
    <row r="26" spans="1:12" x14ac:dyDescent="0.35">
      <c r="A26" s="2">
        <v>1001</v>
      </c>
      <c r="B26" s="3">
        <v>45296</v>
      </c>
      <c r="C26" s="2" t="s">
        <v>9</v>
      </c>
      <c r="D26" s="2" t="s">
        <v>10</v>
      </c>
      <c r="E26" s="2" t="s">
        <v>11</v>
      </c>
      <c r="F26" s="2" t="s">
        <v>12</v>
      </c>
      <c r="G26" s="2">
        <v>2</v>
      </c>
      <c r="H26" s="2">
        <v>50000</v>
      </c>
      <c r="I26" s="2">
        <v>100000</v>
      </c>
    </row>
    <row r="27" spans="1:12" x14ac:dyDescent="0.35">
      <c r="A27" s="2">
        <v>1005</v>
      </c>
      <c r="B27" s="3">
        <v>45309</v>
      </c>
      <c r="C27" s="2" t="s">
        <v>9</v>
      </c>
      <c r="D27" s="2" t="s">
        <v>10</v>
      </c>
      <c r="E27" s="2" t="s">
        <v>15</v>
      </c>
      <c r="F27" s="2" t="s">
        <v>12</v>
      </c>
      <c r="G27" s="2">
        <v>4</v>
      </c>
      <c r="H27" s="2">
        <v>20000</v>
      </c>
      <c r="I27" s="2">
        <v>80000</v>
      </c>
    </row>
    <row r="28" spans="1:12" x14ac:dyDescent="0.35">
      <c r="A28" s="2">
        <v>1009</v>
      </c>
      <c r="B28" s="3">
        <v>45324</v>
      </c>
      <c r="C28" s="2" t="s">
        <v>9</v>
      </c>
      <c r="D28" s="2" t="s">
        <v>10</v>
      </c>
      <c r="E28" s="2" t="s">
        <v>22</v>
      </c>
      <c r="F28" s="2" t="s">
        <v>19</v>
      </c>
      <c r="G28" s="2">
        <v>5</v>
      </c>
      <c r="H28" s="2">
        <v>7000</v>
      </c>
      <c r="I28" s="2">
        <v>35000</v>
      </c>
    </row>
    <row r="30" spans="1:12" x14ac:dyDescent="0.35">
      <c r="A30" s="1" t="s">
        <v>8</v>
      </c>
    </row>
    <row r="31" spans="1:12" x14ac:dyDescent="0.35">
      <c r="A31" s="9">
        <f>SUM(I2:I11)</f>
        <v>577000</v>
      </c>
    </row>
    <row r="32" spans="1:12" ht="17" customHeight="1" x14ac:dyDescent="0.35">
      <c r="A32" s="1" t="s">
        <v>42</v>
      </c>
    </row>
    <row r="33" spans="1:4" x14ac:dyDescent="0.35">
      <c r="A33" s="9">
        <f>SUM(G2:G11)</f>
        <v>45</v>
      </c>
    </row>
    <row r="34" spans="1:4" x14ac:dyDescent="0.35">
      <c r="A34" s="7" t="s">
        <v>43</v>
      </c>
    </row>
    <row r="35" spans="1:4" x14ac:dyDescent="0.35">
      <c r="A35" s="9">
        <f>AVERAGE(I2:I11)</f>
        <v>57700</v>
      </c>
    </row>
    <row r="37" spans="1:4" x14ac:dyDescent="0.35">
      <c r="A37" s="11" t="s">
        <v>44</v>
      </c>
      <c r="B37" s="11"/>
    </row>
    <row r="38" spans="1:4" x14ac:dyDescent="0.35">
      <c r="A38" s="12">
        <f>AVERAGE(G2:G11)</f>
        <v>4.5</v>
      </c>
      <c r="B38" s="12"/>
    </row>
    <row r="39" spans="1:4" x14ac:dyDescent="0.35">
      <c r="A39" s="11" t="s">
        <v>45</v>
      </c>
      <c r="B39" s="11"/>
    </row>
    <row r="40" spans="1:4" x14ac:dyDescent="0.35">
      <c r="A40" s="13">
        <f>COUNT(A2:A11)</f>
        <v>10</v>
      </c>
      <c r="B40" s="13"/>
    </row>
    <row r="41" spans="1:4" x14ac:dyDescent="0.35">
      <c r="A41" s="11" t="s">
        <v>46</v>
      </c>
      <c r="B41" s="11"/>
      <c r="C41" s="11"/>
    </row>
    <row r="42" spans="1:4" x14ac:dyDescent="0.35">
      <c r="A42" s="12">
        <f>COUNTIF(F2:F11,"Furniture")</f>
        <v>5</v>
      </c>
      <c r="B42" s="12"/>
      <c r="C42" s="12"/>
    </row>
    <row r="43" spans="1:4" x14ac:dyDescent="0.35">
      <c r="A43" s="11" t="s">
        <v>47</v>
      </c>
      <c r="B43" s="11"/>
      <c r="C43" s="11"/>
    </row>
    <row r="44" spans="1:4" x14ac:dyDescent="0.35">
      <c r="A44" s="12">
        <f>SUMIF(F2:F11,"Electronics",I2:I11)</f>
        <v>450000</v>
      </c>
      <c r="B44" s="12"/>
      <c r="C44" s="12"/>
    </row>
    <row r="45" spans="1:4" x14ac:dyDescent="0.35">
      <c r="A45" s="11" t="s">
        <v>48</v>
      </c>
      <c r="B45" s="11"/>
      <c r="C45" s="11"/>
    </row>
    <row r="46" spans="1:4" x14ac:dyDescent="0.35">
      <c r="A46" s="13">
        <f>SUMIF(D2:D11,"Amit",I2:I11)</f>
        <v>215000</v>
      </c>
      <c r="B46" s="13"/>
      <c r="C46" s="13"/>
    </row>
    <row r="47" spans="1:4" x14ac:dyDescent="0.35">
      <c r="A47" s="11" t="s">
        <v>49</v>
      </c>
      <c r="B47" s="11"/>
      <c r="C47" s="11"/>
      <c r="D47" s="11"/>
    </row>
    <row r="48" spans="1:4" x14ac:dyDescent="0.35">
      <c r="A48" s="12">
        <f>SUMIFS(I2:I11,F2:F11,"Electronics",C2:C11,"East")</f>
        <v>180000</v>
      </c>
      <c r="B48" s="12"/>
      <c r="C48" s="12"/>
      <c r="D48" s="12"/>
    </row>
    <row r="49" spans="1:4" x14ac:dyDescent="0.35">
      <c r="A49" s="11" t="s">
        <v>50</v>
      </c>
      <c r="B49" s="11"/>
      <c r="C49" s="11"/>
      <c r="D49" s="11"/>
    </row>
    <row r="50" spans="1:4" x14ac:dyDescent="0.35">
      <c r="A50" s="12">
        <f>SUMIFS(I2:I11,D2:D11,"Priya",C2:C11,"West")</f>
        <v>171000</v>
      </c>
      <c r="B50" s="12"/>
      <c r="C50" s="12"/>
      <c r="D50" s="12"/>
    </row>
    <row r="51" spans="1:4" x14ac:dyDescent="0.35">
      <c r="A51" s="7" t="s">
        <v>51</v>
      </c>
    </row>
    <row r="52" spans="1:4" x14ac:dyDescent="0.35">
      <c r="A52" s="9">
        <f>COUNTIFS(F2:F11,"Electronics",G2:G11,"&gt;3")</f>
        <v>3</v>
      </c>
    </row>
  </sheetData>
  <sortState xmlns:xlrd2="http://schemas.microsoft.com/office/spreadsheetml/2017/richdata2" ref="A2:I11">
    <sortCondition descending="1" ref="I2:I11"/>
  </sortState>
  <mergeCells count="14">
    <mergeCell ref="A42:C42"/>
    <mergeCell ref="A37:B37"/>
    <mergeCell ref="A38:B38"/>
    <mergeCell ref="A39:B39"/>
    <mergeCell ref="A40:B40"/>
    <mergeCell ref="A41:C41"/>
    <mergeCell ref="A49:D49"/>
    <mergeCell ref="A50:D50"/>
    <mergeCell ref="A43:C43"/>
    <mergeCell ref="A44:C44"/>
    <mergeCell ref="A45:C45"/>
    <mergeCell ref="A46:C46"/>
    <mergeCell ref="A47:D47"/>
    <mergeCell ref="A48:D48"/>
  </mergeCells>
  <conditionalFormatting sqref="G2:G11">
    <cfRule type="cellIs" dxfId="1" priority="1" operator="lessThan">
      <formula>3</formula>
    </cfRule>
  </conditionalFormatting>
  <conditionalFormatting sqref="I2:I11">
    <cfRule type="cellIs" dxfId="0" priority="2" operator="greaterThan">
      <formula>100000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Soumyadip Das</cp:lastModifiedBy>
  <dcterms:created xsi:type="dcterms:W3CDTF">2026-03-04T02:35:16Z</dcterms:created>
  <dcterms:modified xsi:type="dcterms:W3CDTF">2026-03-04T07:20:22Z</dcterms:modified>
</cp:coreProperties>
</file>