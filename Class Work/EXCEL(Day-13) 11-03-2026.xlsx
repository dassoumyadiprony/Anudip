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0AB148-1B46-430C-811B-9B42B564348A}" xr6:coauthVersionLast="47" xr6:coauthVersionMax="47" xr10:uidLastSave="{00000000-0000-0000-0000-000000000000}"/>
  <bookViews>
    <workbookView xWindow="-110" yWindow="-110" windowWidth="19420" windowHeight="11020" xr2:uid="{EA724C62-79EA-4F23-8AD3-D62887B0A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" i="1" l="1"/>
  <c r="S12" i="1"/>
  <c r="T7" i="1"/>
  <c r="S7" i="1"/>
  <c r="P22" i="1"/>
  <c r="P19" i="1"/>
  <c r="P15" i="1"/>
  <c r="P7" i="1"/>
  <c r="P11" i="1"/>
</calcChain>
</file>

<file path=xl/sharedStrings.xml><?xml version="1.0" encoding="utf-8"?>
<sst xmlns="http://schemas.openxmlformats.org/spreadsheetml/2006/main" count="632" uniqueCount="147">
  <si>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</si>
  <si>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</si>
  <si>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</si>
  <si>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</si>
  <si>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</si>
  <si>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</si>
  <si>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</si>
  <si>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</si>
  <si>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</si>
  <si>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</si>
  <si>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</si>
  <si>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</si>
  <si>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</si>
  <si>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</si>
  <si>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</si>
  <si>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</si>
  <si>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</si>
  <si>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</si>
  <si>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</si>
  <si>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</si>
  <si>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</si>
  <si>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</si>
  <si>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</si>
  <si>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</si>
  <si>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</si>
  <si>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</si>
  <si>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</si>
  <si>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</si>
  <si>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</si>
  <si>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</si>
  <si>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</si>
  <si>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</si>
  <si>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</si>
  <si>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</si>
  <si>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</si>
  <si>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</si>
  <si>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</si>
  <si>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</si>
  <si>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</si>
  <si>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</si>
  <si>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</si>
  <si>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</si>
  <si>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</si>
  <si>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</si>
  <si>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</si>
  <si>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</si>
  <si>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</si>
  <si>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</si>
  <si>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</si>
  <si>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</si>
  <si>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</si>
  <si>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</si>
  <si>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</si>
  <si>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</si>
  <si>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</si>
  <si>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</si>
  <si>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</si>
  <si>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</si>
  <si>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</si>
  <si>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</si>
  <si>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</si>
  <si>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</si>
  <si>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</si>
  <si>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</si>
  <si>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</si>
  <si>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</si>
  <si>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</si>
  <si>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</si>
  <si>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</si>
  <si>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</si>
  <si>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</si>
  <si>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</si>
  <si>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</si>
  <si>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</si>
  <si>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</si>
  <si>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</si>
  <si>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</si>
  <si>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</si>
  <si>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</si>
  <si>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</si>
  <si>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</si>
  <si>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</si>
  <si>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</si>
  <si>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</si>
  <si>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</si>
  <si>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</si>
  <si>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</si>
  <si>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</si>
  <si>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</si>
  <si>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</si>
  <si>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</si>
  <si>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</si>
  <si>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</si>
  <si>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</si>
  <si>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</si>
  <si>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</si>
  <si>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</si>
  <si>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</si>
  <si>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</si>
  <si>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</si>
  <si>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</si>
  <si>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</si>
  <si>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</si>
  <si>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</si>
  <si>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</si>
  <si>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</si>
  <si>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</si>
  <si>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</si>
  <si>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</si>
  <si>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</si>
  <si>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</si>
  <si>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</si>
  <si>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</si>
  <si>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</si>
  <si>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</si>
  <si>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</si>
  <si>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</si>
  <si>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</si>
  <si>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</si>
  <si>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</si>
  <si>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</si>
  <si>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</si>
  <si>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</si>
  <si>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</si>
  <si>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</si>
  <si>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</si>
  <si>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</si>
  <si>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</si>
  <si>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</si>
  <si>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</si>
  <si>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</si>
  <si>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</si>
  <si>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</si>
  <si>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</si>
  <si>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</si>
  <si>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</si>
  <si>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</si>
  <si>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</si>
  <si>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</si>
  <si>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</si>
  <si>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</si>
  <si>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</si>
  <si>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Serial No.</t>
  </si>
  <si>
    <t>Value</t>
  </si>
  <si>
    <t>Row No.</t>
  </si>
  <si>
    <t>Column No.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</si>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</sst>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21BF-C8E3-4C23-9890-31D3B285FBF4}">
  <dimension ref="A1:T101"/>
  <sheetViews>
    <sheetView tabSelected="1" workbookViewId="0">
      <selection activeCell="S7" sqref="S7"/>
    </sheetView>
  </sheetViews>
  <sheetFormatPr defaultRowHeight="14.5" x14ac:dyDescent="0.35"/>
  <cols>
    <col min="1" max="1" width="9.54296875" bestFit="1" customWidth="1"/>
    <col min="2" max="2" width="10.7265625" bestFit="1" customWidth="1"/>
    <col min="3" max="3" width="15.453125" bestFit="1" customWidth="1"/>
    <col min="4" max="4" width="7.1796875" bestFit="1" customWidth="1"/>
    <col min="5" max="5" width="14.54296875" bestFit="1" customWidth="1"/>
    <col min="6" max="6" width="12.81640625" bestFit="1" customWidth="1"/>
    <col min="7" max="7" width="8.7265625" bestFit="1" customWidth="1"/>
    <col min="8" max="8" width="9.7265625" bestFit="1" customWidth="1"/>
    <col min="9" max="9" width="8.7265625" bestFit="1" customWidth="1"/>
    <col min="10" max="10" width="10.453125" bestFit="1" customWidth="1"/>
    <col min="11" max="11" width="8" bestFit="1" customWidth="1"/>
    <col min="12" max="12" width="14.7265625" bestFit="1" customWidth="1"/>
    <col min="14" max="14" width="9.54296875" bestFit="1" customWidth="1"/>
    <col min="15" max="15" width="11.453125" bestFit="1" customWidth="1"/>
    <col min="16" max="16" width="12.81640625" bestFit="1" customWidth="1"/>
    <col min="18" max="18" width="10.7265625" bestFit="1" customWidth="1"/>
    <col min="19" max="19" width="10.453125" bestFit="1" customWidth="1"/>
    <col min="20" max="20" width="14.5429687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0" x14ac:dyDescent="0.35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3896.18</v>
      </c>
      <c r="K2" s="2">
        <v>964.48</v>
      </c>
      <c r="L2" s="2" t="s">
        <v>17</v>
      </c>
    </row>
    <row r="3" spans="1:20" x14ac:dyDescent="0.35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</row>
    <row r="4" spans="1:20" x14ac:dyDescent="0.35">
      <c r="A4" s="2" t="s">
        <v>24</v>
      </c>
      <c r="B4" s="3">
        <v>45197</v>
      </c>
      <c r="C4" s="2" t="s">
        <v>13</v>
      </c>
      <c r="D4" s="2" t="s">
        <v>20</v>
      </c>
      <c r="E4" s="2" t="s">
        <v>25</v>
      </c>
      <c r="F4" s="2" t="s">
        <v>26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</row>
    <row r="5" spans="1:20" x14ac:dyDescent="0.35">
      <c r="A5" s="2" t="s">
        <v>27</v>
      </c>
      <c r="B5" s="3">
        <v>45033</v>
      </c>
      <c r="C5" s="2" t="s">
        <v>28</v>
      </c>
      <c r="D5" s="2" t="s">
        <v>14</v>
      </c>
      <c r="E5" s="2" t="s">
        <v>15</v>
      </c>
      <c r="F5" s="2" t="s">
        <v>29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30</v>
      </c>
    </row>
    <row r="6" spans="1:20" x14ac:dyDescent="0.35">
      <c r="A6" s="2" t="s">
        <v>31</v>
      </c>
      <c r="B6" s="3">
        <v>44998</v>
      </c>
      <c r="C6" s="2" t="s">
        <v>13</v>
      </c>
      <c r="D6" s="2" t="s">
        <v>20</v>
      </c>
      <c r="E6" s="2" t="s">
        <v>25</v>
      </c>
      <c r="F6" s="2" t="s">
        <v>26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  <c r="O6" s="1" t="s">
        <v>142</v>
      </c>
      <c r="P6" s="1" t="s">
        <v>143</v>
      </c>
      <c r="R6" s="1" t="s">
        <v>1</v>
      </c>
      <c r="S6" s="1" t="s">
        <v>9</v>
      </c>
      <c r="T6" s="1" t="s">
        <v>0</v>
      </c>
    </row>
    <row r="7" spans="1:20" x14ac:dyDescent="0.35">
      <c r="A7" s="2" t="s">
        <v>32</v>
      </c>
      <c r="B7" s="3">
        <v>45115</v>
      </c>
      <c r="C7" s="2" t="s">
        <v>33</v>
      </c>
      <c r="D7" s="2" t="s">
        <v>14</v>
      </c>
      <c r="E7" s="2" t="s">
        <v>25</v>
      </c>
      <c r="F7" s="2" t="s">
        <v>26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34</v>
      </c>
      <c r="O7" s="2">
        <v>11</v>
      </c>
      <c r="P7" s="2" t="str">
        <f>INDEX(A1:A101,O7)</f>
        <v>ORD-1009</v>
      </c>
      <c r="R7" s="3">
        <v>45048</v>
      </c>
      <c r="S7" s="2">
        <f>INDEX(J1:J101,MATCH(R7,B1:B101,0))</f>
        <v>2600.9299999999998</v>
      </c>
      <c r="T7" s="2" t="str">
        <f>INDEX(A1:A101,MATCH(R7,B1:B101,0))</f>
        <v>ORD-1008</v>
      </c>
    </row>
    <row r="8" spans="1:20" x14ac:dyDescent="0.35">
      <c r="A8" s="2" t="s">
        <v>35</v>
      </c>
      <c r="B8" s="3">
        <v>44947</v>
      </c>
      <c r="C8" s="2" t="s">
        <v>36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</row>
    <row r="9" spans="1:20" x14ac:dyDescent="0.35">
      <c r="A9" s="2" t="s">
        <v>37</v>
      </c>
      <c r="B9" s="3">
        <v>45029</v>
      </c>
      <c r="C9" s="2" t="s">
        <v>38</v>
      </c>
      <c r="D9" s="2" t="s">
        <v>39</v>
      </c>
      <c r="E9" s="2" t="s">
        <v>15</v>
      </c>
      <c r="F9" s="2" t="s">
        <v>40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34</v>
      </c>
    </row>
    <row r="10" spans="1:20" x14ac:dyDescent="0.35">
      <c r="A10" s="2" t="s">
        <v>41</v>
      </c>
      <c r="B10" s="3">
        <v>45048</v>
      </c>
      <c r="C10" s="2" t="s">
        <v>13</v>
      </c>
      <c r="D10" s="2" t="s">
        <v>42</v>
      </c>
      <c r="E10" s="2" t="s">
        <v>25</v>
      </c>
      <c r="F10" s="2" t="s">
        <v>26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  <c r="O10" s="1" t="s">
        <v>142</v>
      </c>
      <c r="P10" s="1" t="s">
        <v>143</v>
      </c>
    </row>
    <row r="11" spans="1:20" x14ac:dyDescent="0.35">
      <c r="A11" s="2" t="s">
        <v>43</v>
      </c>
      <c r="B11" s="3">
        <v>45141</v>
      </c>
      <c r="C11" s="2" t="s">
        <v>44</v>
      </c>
      <c r="D11" s="2" t="s">
        <v>14</v>
      </c>
      <c r="E11" s="2" t="s">
        <v>21</v>
      </c>
      <c r="F11" s="2" t="s">
        <v>45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30</v>
      </c>
      <c r="O11" s="2">
        <v>6</v>
      </c>
      <c r="P11" s="2" t="str">
        <f>INDEX(A1:L1,,O11)</f>
        <v>Sub-Category</v>
      </c>
      <c r="R11" s="2" t="s">
        <v>0</v>
      </c>
      <c r="S11" s="2" t="s">
        <v>10</v>
      </c>
      <c r="T11" s="2" t="s">
        <v>11</v>
      </c>
    </row>
    <row r="12" spans="1:20" x14ac:dyDescent="0.35">
      <c r="A12" s="2" t="s">
        <v>46</v>
      </c>
      <c r="B12" s="3">
        <v>45257</v>
      </c>
      <c r="C12" s="2" t="s">
        <v>44</v>
      </c>
      <c r="D12" s="2" t="s">
        <v>20</v>
      </c>
      <c r="E12" s="2" t="s">
        <v>21</v>
      </c>
      <c r="F12" s="2" t="s">
        <v>45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34</v>
      </c>
      <c r="R12" s="2" t="s">
        <v>60</v>
      </c>
      <c r="S12" s="2">
        <f>INDEX(K1:K101,MATCH(R12,A1:A101,0))</f>
        <v>1185.21</v>
      </c>
      <c r="T12" s="2" t="str">
        <f>INDEX(L1:L101,MATCH(R12,A1:A101,0))</f>
        <v>Cash</v>
      </c>
    </row>
    <row r="13" spans="1:20" x14ac:dyDescent="0.35">
      <c r="A13" s="2" t="s">
        <v>47</v>
      </c>
      <c r="B13" s="3">
        <v>45014</v>
      </c>
      <c r="C13" s="2" t="s">
        <v>33</v>
      </c>
      <c r="D13" s="2" t="s">
        <v>42</v>
      </c>
      <c r="E13" s="2" t="s">
        <v>21</v>
      </c>
      <c r="F13" s="2" t="s">
        <v>48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30</v>
      </c>
    </row>
    <row r="14" spans="1:20" x14ac:dyDescent="0.35">
      <c r="A14" s="2" t="s">
        <v>49</v>
      </c>
      <c r="B14" s="3">
        <v>45026</v>
      </c>
      <c r="C14" s="2" t="s">
        <v>44</v>
      </c>
      <c r="D14" s="2" t="s">
        <v>20</v>
      </c>
      <c r="E14" s="2" t="s">
        <v>21</v>
      </c>
      <c r="F14" s="2" t="s">
        <v>48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  <c r="N14" s="1" t="s">
        <v>144</v>
      </c>
      <c r="O14" s="1" t="s">
        <v>145</v>
      </c>
      <c r="P14" s="1" t="s">
        <v>143</v>
      </c>
    </row>
    <row r="15" spans="1:20" x14ac:dyDescent="0.35">
      <c r="A15" s="2" t="s">
        <v>50</v>
      </c>
      <c r="B15" s="3">
        <v>45286</v>
      </c>
      <c r="C15" s="2" t="s">
        <v>51</v>
      </c>
      <c r="D15" s="2" t="s">
        <v>39</v>
      </c>
      <c r="E15" s="2" t="s">
        <v>25</v>
      </c>
      <c r="F15" s="2" t="s">
        <v>52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34</v>
      </c>
      <c r="N15" s="2">
        <v>6</v>
      </c>
      <c r="O15" s="2">
        <v>5</v>
      </c>
      <c r="P15" s="2" t="str">
        <f>INDEX(A1:L101,N15,O15)</f>
        <v>Furniture</v>
      </c>
    </row>
    <row r="16" spans="1:20" x14ac:dyDescent="0.35">
      <c r="A16" s="2" t="s">
        <v>53</v>
      </c>
      <c r="B16" s="3">
        <v>45078</v>
      </c>
      <c r="C16" s="2" t="s">
        <v>36</v>
      </c>
      <c r="D16" s="2" t="s">
        <v>39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</row>
    <row r="17" spans="1:16" x14ac:dyDescent="0.35">
      <c r="A17" s="2" t="s">
        <v>54</v>
      </c>
      <c r="B17" s="3">
        <v>45057</v>
      </c>
      <c r="C17" s="2" t="s">
        <v>38</v>
      </c>
      <c r="D17" s="2" t="s">
        <v>42</v>
      </c>
      <c r="E17" s="2" t="s">
        <v>25</v>
      </c>
      <c r="F17" s="2" t="s">
        <v>55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</row>
    <row r="18" spans="1:16" x14ac:dyDescent="0.35">
      <c r="A18" s="2" t="s">
        <v>56</v>
      </c>
      <c r="B18" s="3">
        <v>45076</v>
      </c>
      <c r="C18" s="2" t="s">
        <v>36</v>
      </c>
      <c r="D18" s="2" t="s">
        <v>39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34</v>
      </c>
      <c r="O18" s="1" t="s">
        <v>143</v>
      </c>
      <c r="P18" s="1" t="s">
        <v>146</v>
      </c>
    </row>
    <row r="19" spans="1:16" x14ac:dyDescent="0.35">
      <c r="A19" s="2" t="s">
        <v>57</v>
      </c>
      <c r="B19" s="3">
        <v>45235</v>
      </c>
      <c r="C19" s="2" t="s">
        <v>38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  <c r="O19" s="2" t="s">
        <v>7</v>
      </c>
      <c r="P19" s="2">
        <f>MATCH(O19,A1:L1,0)</f>
        <v>8</v>
      </c>
    </row>
    <row r="20" spans="1:16" x14ac:dyDescent="0.35">
      <c r="A20" s="2" t="s">
        <v>58</v>
      </c>
      <c r="B20" s="3">
        <v>45184</v>
      </c>
      <c r="C20" s="2" t="s">
        <v>59</v>
      </c>
      <c r="D20" s="2" t="s">
        <v>39</v>
      </c>
      <c r="E20" s="2" t="s">
        <v>15</v>
      </c>
      <c r="F20" s="2" t="s">
        <v>40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</row>
    <row r="21" spans="1:16" x14ac:dyDescent="0.35">
      <c r="A21" s="2" t="s">
        <v>60</v>
      </c>
      <c r="B21" s="3">
        <v>45270</v>
      </c>
      <c r="C21" s="2" t="s">
        <v>33</v>
      </c>
      <c r="D21" s="2" t="s">
        <v>14</v>
      </c>
      <c r="E21" s="2" t="s">
        <v>21</v>
      </c>
      <c r="F21" s="2" t="s">
        <v>45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  <c r="O21" s="1" t="s">
        <v>143</v>
      </c>
      <c r="P21" s="1" t="s">
        <v>146</v>
      </c>
    </row>
    <row r="22" spans="1:16" x14ac:dyDescent="0.35">
      <c r="A22" s="2" t="s">
        <v>61</v>
      </c>
      <c r="B22" s="3">
        <v>45220</v>
      </c>
      <c r="C22" s="2" t="s">
        <v>13</v>
      </c>
      <c r="D22" s="2" t="s">
        <v>39</v>
      </c>
      <c r="E22" s="2" t="s">
        <v>15</v>
      </c>
      <c r="F22" s="2" t="s">
        <v>29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30</v>
      </c>
      <c r="O22" s="2" t="s">
        <v>57</v>
      </c>
      <c r="P22" s="2">
        <f>MATCH(O22,A1:A101,0)</f>
        <v>19</v>
      </c>
    </row>
    <row r="23" spans="1:16" x14ac:dyDescent="0.35">
      <c r="A23" s="2" t="s">
        <v>62</v>
      </c>
      <c r="B23" s="3">
        <v>45118</v>
      </c>
      <c r="C23" s="2" t="s">
        <v>51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</row>
    <row r="24" spans="1:16" x14ac:dyDescent="0.35">
      <c r="A24" s="2" t="s">
        <v>63</v>
      </c>
      <c r="B24" s="3">
        <v>45203</v>
      </c>
      <c r="C24" s="2" t="s">
        <v>33</v>
      </c>
      <c r="D24" s="2" t="s">
        <v>42</v>
      </c>
      <c r="E24" s="2" t="s">
        <v>21</v>
      </c>
      <c r="F24" s="2" t="s">
        <v>48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</row>
    <row r="25" spans="1:16" x14ac:dyDescent="0.35">
      <c r="A25" s="2" t="s">
        <v>64</v>
      </c>
      <c r="B25" s="3">
        <v>45087</v>
      </c>
      <c r="C25" s="2" t="s">
        <v>36</v>
      </c>
      <c r="D25" s="2" t="s">
        <v>20</v>
      </c>
      <c r="E25" s="2" t="s">
        <v>25</v>
      </c>
      <c r="F25" s="2" t="s">
        <v>26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30</v>
      </c>
    </row>
    <row r="26" spans="1:16" x14ac:dyDescent="0.35">
      <c r="A26" s="2" t="s">
        <v>65</v>
      </c>
      <c r="B26" s="3">
        <v>45240</v>
      </c>
      <c r="C26" s="2" t="s">
        <v>59</v>
      </c>
      <c r="D26" s="2" t="s">
        <v>42</v>
      </c>
      <c r="E26" s="2" t="s">
        <v>25</v>
      </c>
      <c r="F26" s="2" t="s">
        <v>55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34</v>
      </c>
    </row>
    <row r="27" spans="1:16" x14ac:dyDescent="0.35">
      <c r="A27" s="2" t="s">
        <v>66</v>
      </c>
      <c r="B27" s="3">
        <v>44948</v>
      </c>
      <c r="C27" s="2" t="s">
        <v>13</v>
      </c>
      <c r="D27" s="2" t="s">
        <v>39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16" x14ac:dyDescent="0.35">
      <c r="A28" s="2" t="s">
        <v>67</v>
      </c>
      <c r="B28" s="3">
        <v>45179</v>
      </c>
      <c r="C28" s="2" t="s">
        <v>59</v>
      </c>
      <c r="D28" s="2" t="s">
        <v>14</v>
      </c>
      <c r="E28" s="2" t="s">
        <v>25</v>
      </c>
      <c r="F28" s="2" t="s">
        <v>26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30</v>
      </c>
    </row>
    <row r="29" spans="1:16" x14ac:dyDescent="0.35">
      <c r="A29" s="2" t="s">
        <v>68</v>
      </c>
      <c r="B29" s="3">
        <v>45162</v>
      </c>
      <c r="C29" s="2" t="s">
        <v>28</v>
      </c>
      <c r="D29" s="2" t="s">
        <v>42</v>
      </c>
      <c r="E29" s="2" t="s">
        <v>15</v>
      </c>
      <c r="F29" s="2" t="s">
        <v>40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30</v>
      </c>
    </row>
    <row r="30" spans="1:16" x14ac:dyDescent="0.35">
      <c r="A30" s="2" t="s">
        <v>69</v>
      </c>
      <c r="B30" s="3">
        <v>45271</v>
      </c>
      <c r="C30" s="2" t="s">
        <v>28</v>
      </c>
      <c r="D30" s="2" t="s">
        <v>20</v>
      </c>
      <c r="E30" s="2" t="s">
        <v>25</v>
      </c>
      <c r="F30" s="2" t="s">
        <v>55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16" x14ac:dyDescent="0.35">
      <c r="A31" s="2" t="s">
        <v>70</v>
      </c>
      <c r="B31" s="3">
        <v>44975</v>
      </c>
      <c r="C31" s="2" t="s">
        <v>59</v>
      </c>
      <c r="D31" s="2" t="s">
        <v>39</v>
      </c>
      <c r="E31" s="2" t="s">
        <v>25</v>
      </c>
      <c r="F31" s="2" t="s">
        <v>55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</row>
    <row r="32" spans="1:16" x14ac:dyDescent="0.35">
      <c r="A32" s="2" t="s">
        <v>71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45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12" x14ac:dyDescent="0.35">
      <c r="A33" s="2" t="s">
        <v>72</v>
      </c>
      <c r="B33" s="3">
        <v>45096</v>
      </c>
      <c r="C33" s="2" t="s">
        <v>51</v>
      </c>
      <c r="D33" s="2" t="s">
        <v>20</v>
      </c>
      <c r="E33" s="2" t="s">
        <v>15</v>
      </c>
      <c r="F33" s="2" t="s">
        <v>29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</row>
    <row r="34" spans="1:12" x14ac:dyDescent="0.35">
      <c r="A34" s="2" t="s">
        <v>73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29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30</v>
      </c>
    </row>
    <row r="35" spans="1:12" x14ac:dyDescent="0.35">
      <c r="A35" s="2" t="s">
        <v>74</v>
      </c>
      <c r="B35" s="3">
        <v>45197</v>
      </c>
      <c r="C35" s="2" t="s">
        <v>36</v>
      </c>
      <c r="D35" s="2" t="s">
        <v>39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34</v>
      </c>
    </row>
    <row r="36" spans="1:12" x14ac:dyDescent="0.35">
      <c r="A36" s="2" t="s">
        <v>75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48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34</v>
      </c>
    </row>
    <row r="37" spans="1:12" x14ac:dyDescent="0.35">
      <c r="A37" s="2" t="s">
        <v>76</v>
      </c>
      <c r="B37" s="3">
        <v>45101</v>
      </c>
      <c r="C37" s="2" t="s">
        <v>28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34</v>
      </c>
    </row>
    <row r="38" spans="1:12" x14ac:dyDescent="0.35">
      <c r="A38" s="2" t="s">
        <v>77</v>
      </c>
      <c r="B38" s="3">
        <v>44977</v>
      </c>
      <c r="C38" s="2" t="s">
        <v>19</v>
      </c>
      <c r="D38" s="2" t="s">
        <v>39</v>
      </c>
      <c r="E38" s="2" t="s">
        <v>15</v>
      </c>
      <c r="F38" s="2" t="s">
        <v>40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12" x14ac:dyDescent="0.35">
      <c r="A39" s="2" t="s">
        <v>78</v>
      </c>
      <c r="B39" s="3">
        <v>45290</v>
      </c>
      <c r="C39" s="2" t="s">
        <v>13</v>
      </c>
      <c r="D39" s="2" t="s">
        <v>14</v>
      </c>
      <c r="E39" s="2" t="s">
        <v>25</v>
      </c>
      <c r="F39" s="2" t="s">
        <v>52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34</v>
      </c>
    </row>
    <row r="40" spans="1:12" x14ac:dyDescent="0.35">
      <c r="A40" s="2" t="s">
        <v>79</v>
      </c>
      <c r="B40" s="3">
        <v>44981</v>
      </c>
      <c r="C40" s="2" t="s">
        <v>28</v>
      </c>
      <c r="D40" s="2" t="s">
        <v>14</v>
      </c>
      <c r="E40" s="2" t="s">
        <v>25</v>
      </c>
      <c r="F40" s="2" t="s">
        <v>52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30</v>
      </c>
    </row>
    <row r="41" spans="1:12" x14ac:dyDescent="0.35">
      <c r="A41" s="2" t="s">
        <v>80</v>
      </c>
      <c r="B41" s="3">
        <v>45170</v>
      </c>
      <c r="C41" s="2" t="s">
        <v>28</v>
      </c>
      <c r="D41" s="2" t="s">
        <v>14</v>
      </c>
      <c r="E41" s="2" t="s">
        <v>25</v>
      </c>
      <c r="F41" s="2" t="s">
        <v>26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34</v>
      </c>
    </row>
    <row r="42" spans="1:12" x14ac:dyDescent="0.35">
      <c r="A42" s="2" t="s">
        <v>81</v>
      </c>
      <c r="B42" s="3">
        <v>45246</v>
      </c>
      <c r="C42" s="2" t="s">
        <v>36</v>
      </c>
      <c r="D42" s="2" t="s">
        <v>39</v>
      </c>
      <c r="E42" s="2" t="s">
        <v>21</v>
      </c>
      <c r="F42" s="2" t="s">
        <v>45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30</v>
      </c>
    </row>
    <row r="43" spans="1:12" x14ac:dyDescent="0.35">
      <c r="A43" s="2" t="s">
        <v>82</v>
      </c>
      <c r="B43" s="3">
        <v>45057</v>
      </c>
      <c r="C43" s="2" t="s">
        <v>33</v>
      </c>
      <c r="D43" s="2" t="s">
        <v>20</v>
      </c>
      <c r="E43" s="2" t="s">
        <v>15</v>
      </c>
      <c r="F43" s="2" t="s">
        <v>40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30</v>
      </c>
    </row>
    <row r="44" spans="1:12" x14ac:dyDescent="0.35">
      <c r="A44" s="2" t="s">
        <v>83</v>
      </c>
      <c r="B44" s="3">
        <v>45233</v>
      </c>
      <c r="C44" s="2" t="s">
        <v>44</v>
      </c>
      <c r="D44" s="2" t="s">
        <v>39</v>
      </c>
      <c r="E44" s="2" t="s">
        <v>25</v>
      </c>
      <c r="F44" s="2" t="s">
        <v>55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12" x14ac:dyDescent="0.35">
      <c r="A45" s="2" t="s">
        <v>84</v>
      </c>
      <c r="B45" s="3">
        <v>45061</v>
      </c>
      <c r="C45" s="2" t="s">
        <v>44</v>
      </c>
      <c r="D45" s="2" t="s">
        <v>14</v>
      </c>
      <c r="E45" s="2" t="s">
        <v>15</v>
      </c>
      <c r="F45" s="2" t="s">
        <v>29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30</v>
      </c>
    </row>
    <row r="46" spans="1:12" x14ac:dyDescent="0.35">
      <c r="A46" s="2" t="s">
        <v>85</v>
      </c>
      <c r="B46" s="3">
        <v>44947</v>
      </c>
      <c r="C46" s="2" t="s">
        <v>33</v>
      </c>
      <c r="D46" s="2" t="s">
        <v>42</v>
      </c>
      <c r="E46" s="2" t="s">
        <v>25</v>
      </c>
      <c r="F46" s="2" t="s">
        <v>52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12" x14ac:dyDescent="0.35">
      <c r="A47" s="2" t="s">
        <v>86</v>
      </c>
      <c r="B47" s="3">
        <v>45255</v>
      </c>
      <c r="C47" s="2" t="s">
        <v>38</v>
      </c>
      <c r="D47" s="2" t="s">
        <v>39</v>
      </c>
      <c r="E47" s="2" t="s">
        <v>25</v>
      </c>
      <c r="F47" s="2" t="s">
        <v>55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30</v>
      </c>
    </row>
    <row r="48" spans="1:12" x14ac:dyDescent="0.35">
      <c r="A48" s="2" t="s">
        <v>87</v>
      </c>
      <c r="B48" s="3">
        <v>45093</v>
      </c>
      <c r="C48" s="2" t="s">
        <v>59</v>
      </c>
      <c r="D48" s="2" t="s">
        <v>20</v>
      </c>
      <c r="E48" s="2" t="s">
        <v>15</v>
      </c>
      <c r="F48" s="2" t="s">
        <v>29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 x14ac:dyDescent="0.35">
      <c r="A49" s="2" t="s">
        <v>88</v>
      </c>
      <c r="B49" s="3">
        <v>45200</v>
      </c>
      <c r="C49" s="2" t="s">
        <v>44</v>
      </c>
      <c r="D49" s="2" t="s">
        <v>42</v>
      </c>
      <c r="E49" s="2" t="s">
        <v>25</v>
      </c>
      <c r="F49" s="2" t="s">
        <v>55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 x14ac:dyDescent="0.35">
      <c r="A50" s="2" t="s">
        <v>89</v>
      </c>
      <c r="B50" s="3">
        <v>45015</v>
      </c>
      <c r="C50" s="2" t="s">
        <v>90</v>
      </c>
      <c r="D50" s="2" t="s">
        <v>39</v>
      </c>
      <c r="E50" s="2" t="s">
        <v>25</v>
      </c>
      <c r="F50" s="2" t="s">
        <v>52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34</v>
      </c>
    </row>
    <row r="51" spans="1:12" x14ac:dyDescent="0.35">
      <c r="A51" s="2" t="s">
        <v>91</v>
      </c>
      <c r="B51" s="3">
        <v>45242</v>
      </c>
      <c r="C51" s="2" t="s">
        <v>38</v>
      </c>
      <c r="D51" s="2" t="s">
        <v>39</v>
      </c>
      <c r="E51" s="2" t="s">
        <v>15</v>
      </c>
      <c r="F51" s="2" t="s">
        <v>40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 x14ac:dyDescent="0.35">
      <c r="A52" s="2" t="s">
        <v>92</v>
      </c>
      <c r="B52" s="3">
        <v>44940</v>
      </c>
      <c r="C52" s="2" t="s">
        <v>28</v>
      </c>
      <c r="D52" s="2" t="s">
        <v>20</v>
      </c>
      <c r="E52" s="2" t="s">
        <v>25</v>
      </c>
      <c r="F52" s="2" t="s">
        <v>55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 x14ac:dyDescent="0.35">
      <c r="A53" s="2" t="s">
        <v>93</v>
      </c>
      <c r="B53" s="3">
        <v>45168</v>
      </c>
      <c r="C53" s="2" t="s">
        <v>33</v>
      </c>
      <c r="D53" s="2" t="s">
        <v>20</v>
      </c>
      <c r="E53" s="2" t="s">
        <v>15</v>
      </c>
      <c r="F53" s="2" t="s">
        <v>40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30</v>
      </c>
    </row>
    <row r="54" spans="1:12" x14ac:dyDescent="0.35">
      <c r="A54" s="2" t="s">
        <v>94</v>
      </c>
      <c r="B54" s="3">
        <v>45191</v>
      </c>
      <c r="C54" s="2" t="s">
        <v>38</v>
      </c>
      <c r="D54" s="2" t="s">
        <v>14</v>
      </c>
      <c r="E54" s="2" t="s">
        <v>25</v>
      </c>
      <c r="F54" s="2" t="s">
        <v>52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 x14ac:dyDescent="0.35">
      <c r="A55" s="2" t="s">
        <v>95</v>
      </c>
      <c r="B55" s="3">
        <v>45272</v>
      </c>
      <c r="C55" s="2" t="s">
        <v>44</v>
      </c>
      <c r="D55" s="2" t="s">
        <v>14</v>
      </c>
      <c r="E55" s="2" t="s">
        <v>21</v>
      </c>
      <c r="F55" s="2" t="s">
        <v>48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30</v>
      </c>
    </row>
    <row r="56" spans="1:12" x14ac:dyDescent="0.35">
      <c r="A56" s="2" t="s">
        <v>96</v>
      </c>
      <c r="B56" s="3">
        <v>44979</v>
      </c>
      <c r="C56" s="2" t="s">
        <v>90</v>
      </c>
      <c r="D56" s="2" t="s">
        <v>42</v>
      </c>
      <c r="E56" s="2" t="s">
        <v>25</v>
      </c>
      <c r="F56" s="2" t="s">
        <v>26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30</v>
      </c>
    </row>
    <row r="57" spans="1:12" x14ac:dyDescent="0.35">
      <c r="A57" s="2" t="s">
        <v>97</v>
      </c>
      <c r="B57" s="3">
        <v>45266</v>
      </c>
      <c r="C57" s="2" t="s">
        <v>33</v>
      </c>
      <c r="D57" s="2" t="s">
        <v>39</v>
      </c>
      <c r="E57" s="2" t="s">
        <v>21</v>
      </c>
      <c r="F57" s="2" t="s">
        <v>45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 x14ac:dyDescent="0.35">
      <c r="A58" s="2" t="s">
        <v>98</v>
      </c>
      <c r="B58" s="3">
        <v>45018</v>
      </c>
      <c r="C58" s="2" t="s">
        <v>38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30</v>
      </c>
    </row>
    <row r="59" spans="1:12" x14ac:dyDescent="0.35">
      <c r="A59" s="2" t="s">
        <v>99</v>
      </c>
      <c r="B59" s="3">
        <v>45190</v>
      </c>
      <c r="C59" s="2" t="s">
        <v>13</v>
      </c>
      <c r="D59" s="2" t="s">
        <v>39</v>
      </c>
      <c r="E59" s="2" t="s">
        <v>25</v>
      </c>
      <c r="F59" s="2" t="s">
        <v>55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 x14ac:dyDescent="0.35">
      <c r="A60" s="2" t="s">
        <v>100</v>
      </c>
      <c r="B60" s="3">
        <v>44961</v>
      </c>
      <c r="C60" s="2" t="s">
        <v>33</v>
      </c>
      <c r="D60" s="2" t="s">
        <v>20</v>
      </c>
      <c r="E60" s="2" t="s">
        <v>25</v>
      </c>
      <c r="F60" s="2" t="s">
        <v>26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34</v>
      </c>
    </row>
    <row r="61" spans="1:12" x14ac:dyDescent="0.35">
      <c r="A61" s="2" t="s">
        <v>101</v>
      </c>
      <c r="B61" s="3">
        <v>45132</v>
      </c>
      <c r="C61" s="2" t="s">
        <v>38</v>
      </c>
      <c r="D61" s="2" t="s">
        <v>20</v>
      </c>
      <c r="E61" s="2" t="s">
        <v>25</v>
      </c>
      <c r="F61" s="2" t="s">
        <v>52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30</v>
      </c>
    </row>
    <row r="62" spans="1:12" x14ac:dyDescent="0.35">
      <c r="A62" s="2" t="s">
        <v>102</v>
      </c>
      <c r="B62" s="3">
        <v>45007</v>
      </c>
      <c r="C62" s="2" t="s">
        <v>28</v>
      </c>
      <c r="D62" s="2" t="s">
        <v>39</v>
      </c>
      <c r="E62" s="2" t="s">
        <v>21</v>
      </c>
      <c r="F62" s="2" t="s">
        <v>48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 x14ac:dyDescent="0.35">
      <c r="A63" s="2" t="s">
        <v>103</v>
      </c>
      <c r="B63" s="3">
        <v>44976</v>
      </c>
      <c r="C63" s="2" t="s">
        <v>44</v>
      </c>
      <c r="D63" s="2" t="s">
        <v>42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34</v>
      </c>
    </row>
    <row r="64" spans="1:12" x14ac:dyDescent="0.35">
      <c r="A64" s="2" t="s">
        <v>104</v>
      </c>
      <c r="B64" s="3">
        <v>45286</v>
      </c>
      <c r="C64" s="2" t="s">
        <v>13</v>
      </c>
      <c r="D64" s="2" t="s">
        <v>20</v>
      </c>
      <c r="E64" s="2" t="s">
        <v>25</v>
      </c>
      <c r="F64" s="2" t="s">
        <v>55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34</v>
      </c>
    </row>
    <row r="65" spans="1:12" x14ac:dyDescent="0.35">
      <c r="A65" s="2" t="s">
        <v>105</v>
      </c>
      <c r="B65" s="3">
        <v>44928</v>
      </c>
      <c r="C65" s="2" t="s">
        <v>19</v>
      </c>
      <c r="D65" s="2" t="s">
        <v>39</v>
      </c>
      <c r="E65" s="2" t="s">
        <v>21</v>
      </c>
      <c r="F65" s="2" t="s">
        <v>48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34</v>
      </c>
    </row>
    <row r="66" spans="1:12" x14ac:dyDescent="0.35">
      <c r="A66" s="2" t="s">
        <v>106</v>
      </c>
      <c r="B66" s="3">
        <v>44980</v>
      </c>
      <c r="C66" s="2" t="s">
        <v>28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34</v>
      </c>
    </row>
    <row r="67" spans="1:12" x14ac:dyDescent="0.35">
      <c r="A67" s="2" t="s">
        <v>107</v>
      </c>
      <c r="B67" s="3">
        <v>45032</v>
      </c>
      <c r="C67" s="2" t="s">
        <v>44</v>
      </c>
      <c r="D67" s="2" t="s">
        <v>42</v>
      </c>
      <c r="E67" s="2" t="s">
        <v>21</v>
      </c>
      <c r="F67" s="2" t="s">
        <v>45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30</v>
      </c>
    </row>
    <row r="68" spans="1:12" x14ac:dyDescent="0.35">
      <c r="A68" s="2" t="s">
        <v>108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40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34</v>
      </c>
    </row>
    <row r="69" spans="1:12" x14ac:dyDescent="0.35">
      <c r="A69" s="2" t="s">
        <v>109</v>
      </c>
      <c r="B69" s="3">
        <v>45236</v>
      </c>
      <c r="C69" s="2" t="s">
        <v>90</v>
      </c>
      <c r="D69" s="2" t="s">
        <v>42</v>
      </c>
      <c r="E69" s="2" t="s">
        <v>25</v>
      </c>
      <c r="F69" s="2" t="s">
        <v>55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34</v>
      </c>
    </row>
    <row r="70" spans="1:12" x14ac:dyDescent="0.35">
      <c r="A70" s="2" t="s">
        <v>110</v>
      </c>
      <c r="B70" s="3">
        <v>45117</v>
      </c>
      <c r="C70" s="2" t="s">
        <v>59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 x14ac:dyDescent="0.35">
      <c r="A71" s="2" t="s">
        <v>111</v>
      </c>
      <c r="B71" s="3">
        <v>45144</v>
      </c>
      <c r="C71" s="2" t="s">
        <v>44</v>
      </c>
      <c r="D71" s="2" t="s">
        <v>14</v>
      </c>
      <c r="E71" s="2" t="s">
        <v>21</v>
      </c>
      <c r="F71" s="2" t="s">
        <v>48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30</v>
      </c>
    </row>
    <row r="72" spans="1:12" x14ac:dyDescent="0.35">
      <c r="A72" s="2" t="s">
        <v>112</v>
      </c>
      <c r="B72" s="3">
        <v>44970</v>
      </c>
      <c r="C72" s="2" t="s">
        <v>33</v>
      </c>
      <c r="D72" s="2" t="s">
        <v>20</v>
      </c>
      <c r="E72" s="2" t="s">
        <v>25</v>
      </c>
      <c r="F72" s="2" t="s">
        <v>52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 x14ac:dyDescent="0.35">
      <c r="A73" s="2" t="s">
        <v>113</v>
      </c>
      <c r="B73" s="3">
        <v>45088</v>
      </c>
      <c r="C73" s="2" t="s">
        <v>90</v>
      </c>
      <c r="D73" s="2" t="s">
        <v>20</v>
      </c>
      <c r="E73" s="2" t="s">
        <v>15</v>
      </c>
      <c r="F73" s="2" t="s">
        <v>40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 x14ac:dyDescent="0.35">
      <c r="A74" s="2" t="s">
        <v>114</v>
      </c>
      <c r="B74" s="3">
        <v>45128</v>
      </c>
      <c r="C74" s="2" t="s">
        <v>28</v>
      </c>
      <c r="D74" s="2" t="s">
        <v>20</v>
      </c>
      <c r="E74" s="2" t="s">
        <v>25</v>
      </c>
      <c r="F74" s="2" t="s">
        <v>52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34</v>
      </c>
    </row>
    <row r="75" spans="1:12" x14ac:dyDescent="0.35">
      <c r="A75" s="2" t="s">
        <v>115</v>
      </c>
      <c r="B75" s="3">
        <v>45196</v>
      </c>
      <c r="C75" s="2" t="s">
        <v>36</v>
      </c>
      <c r="D75" s="2" t="s">
        <v>39</v>
      </c>
      <c r="E75" s="2" t="s">
        <v>25</v>
      </c>
      <c r="F75" s="2" t="s">
        <v>55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34</v>
      </c>
    </row>
    <row r="76" spans="1:12" x14ac:dyDescent="0.35">
      <c r="A76" s="2" t="s">
        <v>116</v>
      </c>
      <c r="B76" s="3">
        <v>45277</v>
      </c>
      <c r="C76" s="2" t="s">
        <v>90</v>
      </c>
      <c r="D76" s="2" t="s">
        <v>20</v>
      </c>
      <c r="E76" s="2" t="s">
        <v>21</v>
      </c>
      <c r="F76" s="2" t="s">
        <v>48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34</v>
      </c>
    </row>
    <row r="77" spans="1:12" x14ac:dyDescent="0.35">
      <c r="A77" s="2" t="s">
        <v>117</v>
      </c>
      <c r="B77" s="3">
        <v>45230</v>
      </c>
      <c r="C77" s="2" t="s">
        <v>59</v>
      </c>
      <c r="D77" s="2" t="s">
        <v>42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 x14ac:dyDescent="0.35">
      <c r="A78" s="2" t="s">
        <v>118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30</v>
      </c>
    </row>
    <row r="79" spans="1:12" x14ac:dyDescent="0.35">
      <c r="A79" s="2" t="s">
        <v>119</v>
      </c>
      <c r="B79" s="3">
        <v>45141</v>
      </c>
      <c r="C79" s="2" t="s">
        <v>28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 x14ac:dyDescent="0.35">
      <c r="A80" s="2" t="s">
        <v>120</v>
      </c>
      <c r="B80" s="3">
        <v>45178</v>
      </c>
      <c r="C80" s="2" t="s">
        <v>59</v>
      </c>
      <c r="D80" s="2" t="s">
        <v>14</v>
      </c>
      <c r="E80" s="2" t="s">
        <v>25</v>
      </c>
      <c r="F80" s="2" t="s">
        <v>52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 x14ac:dyDescent="0.35">
      <c r="A81" s="2" t="s">
        <v>121</v>
      </c>
      <c r="B81" s="3">
        <v>45116</v>
      </c>
      <c r="C81" s="2" t="s">
        <v>90</v>
      </c>
      <c r="D81" s="2" t="s">
        <v>42</v>
      </c>
      <c r="E81" s="2" t="s">
        <v>15</v>
      </c>
      <c r="F81" s="2" t="s">
        <v>29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30</v>
      </c>
    </row>
    <row r="82" spans="1:12" x14ac:dyDescent="0.35">
      <c r="A82" s="2" t="s">
        <v>122</v>
      </c>
      <c r="B82" s="3">
        <v>45222</v>
      </c>
      <c r="C82" s="2" t="s">
        <v>59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34</v>
      </c>
    </row>
    <row r="83" spans="1:12" x14ac:dyDescent="0.35">
      <c r="A83" s="2" t="s">
        <v>123</v>
      </c>
      <c r="B83" s="3">
        <v>45139</v>
      </c>
      <c r="C83" s="2" t="s">
        <v>33</v>
      </c>
      <c r="D83" s="2" t="s">
        <v>14</v>
      </c>
      <c r="E83" s="2" t="s">
        <v>21</v>
      </c>
      <c r="F83" s="2" t="s">
        <v>48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 x14ac:dyDescent="0.35">
      <c r="A84" s="2" t="s">
        <v>124</v>
      </c>
      <c r="B84" s="3">
        <v>45134</v>
      </c>
      <c r="C84" s="2" t="s">
        <v>38</v>
      </c>
      <c r="D84" s="2" t="s">
        <v>42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 x14ac:dyDescent="0.35">
      <c r="A85" s="2" t="s">
        <v>125</v>
      </c>
      <c r="B85" s="3">
        <v>45163</v>
      </c>
      <c r="C85" s="2" t="s">
        <v>28</v>
      </c>
      <c r="D85" s="2" t="s">
        <v>20</v>
      </c>
      <c r="E85" s="2" t="s">
        <v>21</v>
      </c>
      <c r="F85" s="2" t="s">
        <v>48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34</v>
      </c>
    </row>
    <row r="86" spans="1:12" x14ac:dyDescent="0.35">
      <c r="A86" s="2" t="s">
        <v>126</v>
      </c>
      <c r="B86" s="3">
        <v>45264</v>
      </c>
      <c r="C86" s="2" t="s">
        <v>59</v>
      </c>
      <c r="D86" s="2" t="s">
        <v>42</v>
      </c>
      <c r="E86" s="2" t="s">
        <v>25</v>
      </c>
      <c r="F86" s="2" t="s">
        <v>52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30</v>
      </c>
    </row>
    <row r="87" spans="1:12" x14ac:dyDescent="0.35">
      <c r="A87" s="2" t="s">
        <v>127</v>
      </c>
      <c r="B87" s="3">
        <v>44979</v>
      </c>
      <c r="C87" s="2" t="s">
        <v>33</v>
      </c>
      <c r="D87" s="2" t="s">
        <v>20</v>
      </c>
      <c r="E87" s="2" t="s">
        <v>15</v>
      </c>
      <c r="F87" s="2" t="s">
        <v>40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30</v>
      </c>
    </row>
    <row r="88" spans="1:12" x14ac:dyDescent="0.35">
      <c r="A88" s="2" t="s">
        <v>128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29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 x14ac:dyDescent="0.35">
      <c r="A89" s="2" t="s">
        <v>129</v>
      </c>
      <c r="B89" s="3">
        <v>45143</v>
      </c>
      <c r="C89" s="2" t="s">
        <v>59</v>
      </c>
      <c r="D89" s="2" t="s">
        <v>42</v>
      </c>
      <c r="E89" s="2" t="s">
        <v>15</v>
      </c>
      <c r="F89" s="2" t="s">
        <v>40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30</v>
      </c>
    </row>
    <row r="90" spans="1:12" x14ac:dyDescent="0.35">
      <c r="A90" s="2" t="s">
        <v>130</v>
      </c>
      <c r="B90" s="3">
        <v>45178</v>
      </c>
      <c r="C90" s="2" t="s">
        <v>51</v>
      </c>
      <c r="D90" s="2" t="s">
        <v>14</v>
      </c>
      <c r="E90" s="2" t="s">
        <v>15</v>
      </c>
      <c r="F90" s="2" t="s">
        <v>40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34</v>
      </c>
    </row>
    <row r="91" spans="1:12" x14ac:dyDescent="0.35">
      <c r="A91" s="2" t="s">
        <v>131</v>
      </c>
      <c r="B91" s="3">
        <v>45114</v>
      </c>
      <c r="C91" s="2" t="s">
        <v>59</v>
      </c>
      <c r="D91" s="2" t="s">
        <v>14</v>
      </c>
      <c r="E91" s="2" t="s">
        <v>21</v>
      </c>
      <c r="F91" s="2" t="s">
        <v>48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 x14ac:dyDescent="0.35">
      <c r="A92" s="2" t="s">
        <v>132</v>
      </c>
      <c r="B92" s="3">
        <v>44967</v>
      </c>
      <c r="C92" s="2" t="s">
        <v>44</v>
      </c>
      <c r="D92" s="2" t="s">
        <v>39</v>
      </c>
      <c r="E92" s="2" t="s">
        <v>25</v>
      </c>
      <c r="F92" s="2" t="s">
        <v>55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34</v>
      </c>
    </row>
    <row r="93" spans="1:12" x14ac:dyDescent="0.35">
      <c r="A93" s="2" t="s">
        <v>133</v>
      </c>
      <c r="B93" s="3">
        <v>45083</v>
      </c>
      <c r="C93" s="2" t="s">
        <v>90</v>
      </c>
      <c r="D93" s="2" t="s">
        <v>42</v>
      </c>
      <c r="E93" s="2" t="s">
        <v>15</v>
      </c>
      <c r="F93" s="2" t="s">
        <v>29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 x14ac:dyDescent="0.35">
      <c r="A94" s="2" t="s">
        <v>134</v>
      </c>
      <c r="B94" s="3">
        <v>44941</v>
      </c>
      <c r="C94" s="2" t="s">
        <v>59</v>
      </c>
      <c r="D94" s="2" t="s">
        <v>14</v>
      </c>
      <c r="E94" s="2" t="s">
        <v>21</v>
      </c>
      <c r="F94" s="2" t="s">
        <v>48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30</v>
      </c>
    </row>
    <row r="95" spans="1:12" x14ac:dyDescent="0.35">
      <c r="A95" s="2" t="s">
        <v>135</v>
      </c>
      <c r="B95" s="3">
        <v>45227</v>
      </c>
      <c r="C95" s="2" t="s">
        <v>59</v>
      </c>
      <c r="D95" s="2" t="s">
        <v>14</v>
      </c>
      <c r="E95" s="2" t="s">
        <v>25</v>
      </c>
      <c r="F95" s="2" t="s">
        <v>26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 x14ac:dyDescent="0.35">
      <c r="A96" s="2" t="s">
        <v>136</v>
      </c>
      <c r="B96" s="3">
        <v>44991</v>
      </c>
      <c r="C96" s="2" t="s">
        <v>13</v>
      </c>
      <c r="D96" s="2" t="s">
        <v>39</v>
      </c>
      <c r="E96" s="2" t="s">
        <v>15</v>
      </c>
      <c r="F96" s="2" t="s">
        <v>40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 x14ac:dyDescent="0.35">
      <c r="A97" s="2" t="s">
        <v>137</v>
      </c>
      <c r="B97" s="3">
        <v>45271</v>
      </c>
      <c r="C97" s="2" t="s">
        <v>59</v>
      </c>
      <c r="D97" s="2" t="s">
        <v>20</v>
      </c>
      <c r="E97" s="2" t="s">
        <v>25</v>
      </c>
      <c r="F97" s="2" t="s">
        <v>52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34</v>
      </c>
    </row>
    <row r="98" spans="1:12" x14ac:dyDescent="0.35">
      <c r="A98" s="2" t="s">
        <v>138</v>
      </c>
      <c r="B98" s="3">
        <v>45253</v>
      </c>
      <c r="C98" s="2" t="s">
        <v>28</v>
      </c>
      <c r="D98" s="2" t="s">
        <v>14</v>
      </c>
      <c r="E98" s="2" t="s">
        <v>25</v>
      </c>
      <c r="F98" s="2" t="s">
        <v>52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30</v>
      </c>
    </row>
    <row r="99" spans="1:12" x14ac:dyDescent="0.35">
      <c r="A99" s="2" t="s">
        <v>139</v>
      </c>
      <c r="B99" s="3">
        <v>44935</v>
      </c>
      <c r="C99" s="2" t="s">
        <v>44</v>
      </c>
      <c r="D99" s="2" t="s">
        <v>20</v>
      </c>
      <c r="E99" s="2" t="s">
        <v>25</v>
      </c>
      <c r="F99" s="2" t="s">
        <v>55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 x14ac:dyDescent="0.35">
      <c r="A100" s="2" t="s">
        <v>140</v>
      </c>
      <c r="B100" s="3">
        <v>45270</v>
      </c>
      <c r="C100" s="2" t="s">
        <v>59</v>
      </c>
      <c r="D100" s="2" t="s">
        <v>39</v>
      </c>
      <c r="E100" s="2" t="s">
        <v>15</v>
      </c>
      <c r="F100" s="2" t="s">
        <v>29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 x14ac:dyDescent="0.35">
      <c r="A101" s="2" t="s">
        <v>141</v>
      </c>
      <c r="B101" s="3">
        <v>45055</v>
      </c>
      <c r="C101" s="2" t="s">
        <v>36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PALLAB PATRA</dc:creator>
  <cp:lastModifiedBy>Soumyadip Das</cp:lastModifiedBy>
  <dcterms:created xsi:type="dcterms:W3CDTF">2026-03-11T05:26:22Z</dcterms:created>
  <dcterms:modified xsi:type="dcterms:W3CDTF">2026-03-11T15:07:49Z</dcterms:modified>
</cp:coreProperties>
</file>