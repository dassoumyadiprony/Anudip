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91" documentId="13_ncr:1_{BD8C47DF-FFAE-468C-80CF-F089192C13A9}" xr6:coauthVersionLast="47" xr6:coauthVersionMax="47" xr10:uidLastSave="{25A19567-5705-4760-AC12-5CA79B1133A8}"/>
  <bookViews>
    <workbookView xWindow="-110" yWindow="-110" windowWidth="19420" windowHeight="11020" activeTab="2" xr2:uid="{32950C64-EAA2-406A-A166-6BF22F113321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9" i="1" l="1" a="1"/>
  <c r="W39" i="1" s="1"/>
  <c r="W40" i="1" a="1"/>
  <c r="W40" i="1" s="1"/>
  <c r="W38" i="1" a="1"/>
  <c r="W38" i="1" s="1"/>
  <c r="W37" i="1" a="1"/>
  <c r="W37" i="1" s="1"/>
  <c r="V35" i="1"/>
  <c r="W23" i="1"/>
  <c r="Z16" i="1"/>
  <c r="Y24" i="1"/>
  <c r="H19" i="3"/>
  <c r="H18" i="3"/>
  <c r="I17" i="3"/>
  <c r="W16" i="1"/>
  <c r="Y11" i="1"/>
  <c r="P5" i="1"/>
  <c r="X9" i="1"/>
  <c r="V6" i="1"/>
  <c r="T3" i="1"/>
  <c r="G3" i="2"/>
  <c r="G4" i="2"/>
  <c r="G5" i="2"/>
  <c r="G6" i="2"/>
  <c r="G7" i="2"/>
  <c r="G8" i="2"/>
  <c r="G2" i="2"/>
  <c r="F3" i="2"/>
  <c r="F4" i="2"/>
  <c r="F5" i="2"/>
  <c r="F6" i="2"/>
  <c r="F7" i="2"/>
  <c r="F8" i="2"/>
  <c r="F2" i="2"/>
  <c r="E3" i="2"/>
  <c r="E4" i="2"/>
  <c r="E5" i="2"/>
  <c r="E6" i="2"/>
  <c r="E7" i="2"/>
  <c r="E8" i="2"/>
  <c r="E9" i="2"/>
  <c r="F9" i="2" s="1"/>
  <c r="G9" i="2" s="1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P3" i="1"/>
  <c r="P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<sst xmlns="http://schemas.openxmlformats.org/spreadsheetml/2006/main" count="5324" uniqueCount="103">
  <si>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</si>
  <si>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</si>
  <si>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</si>
  <si>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</si>
  <si>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</si>
  <si>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</si>
  <si>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</si>
  <si>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</si>
  <si>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</si>
  <si>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</si>
  <si>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</si>
  <si>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</si>
  <si>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</si>
  <si>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</si>
  <si>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</si>
  <si>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</si>
  <si>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</si>
  <si>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</si>
  <si>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</si>
  <si>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</si>
  <si>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</si>
  <si>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</si>
  <si>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</si>
  <si>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</si>
  <si>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</si>
  <si>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</si>
  <si>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</si>
  <si>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</si>
  <si>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</si>
  <si>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</si>
  <si>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</si>
  <si>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</si>
  <si>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</si>
  <si>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</si>
  <si>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</si>
  <si>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</si>
  <si>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</si>
  <si>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</si>
  <si>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</si>
  <si>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</si>
  <si>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</si>
  <si>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</si>
  <si>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</si>
  <si>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</si>
  <si>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</si>
  <si>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</si>
  <si>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</si>
  <si>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</si>
  <si>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</si>
  <si>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</si>
  <si>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</si>
  <si>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</si>
  <si>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</si>
  <si>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</si>
  <si>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</si>
  <si>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</si>
  <si>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</si>
  <si>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</si>
  <si>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</si>
  <si>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</si>
  <si>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</si>
  <si>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</si>
  <si>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</si>
  <si>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</si>
  <si>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</si>
  <si>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</si>
  <si>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</si>
  <si>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</si>
  <si>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</si>
  <si>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</si>
  <si>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</si>
  <si>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 Category</t>
  </si>
  <si>
    <t>Unit Category</t>
  </si>
  <si>
    <t>Name</t>
  </si>
  <si>
    <t>Sub1</t>
  </si>
  <si>
    <t>Sub2</t>
  </si>
  <si>
    <t>Sub3</t>
  </si>
  <si>
    <t>Total</t>
  </si>
  <si>
    <t>Grade</t>
  </si>
  <si>
    <t>Average</t>
  </si>
  <si>
    <t>Saikat Das</t>
  </si>
  <si>
    <t>Dipta Banip</t>
  </si>
  <si>
    <t>Soumyadip Das</t>
  </si>
  <si>
    <t>Tuhin Roy</t>
  </si>
  <si>
    <t>Atanu Das</t>
  </si>
  <si>
    <t>Aishika Saha</t>
  </si>
  <si>
    <t>Ankita Dey</t>
  </si>
  <si>
    <t>Bikas Roy</t>
  </si>
  <si>
    <t>Totul unit</t>
  </si>
  <si>
    <t>Totul unit  SOLD</t>
  </si>
  <si>
    <t>Today Class Task 23-02-2026</t>
  </si>
  <si>
    <t>Brand Name</t>
  </si>
  <si>
    <t>Total Unit Sold</t>
  </si>
  <si>
    <t>Avarage Unit Price</t>
  </si>
  <si>
    <t>Count</t>
  </si>
  <si>
    <t>Product Row</t>
  </si>
  <si>
    <t>Count Blank</t>
  </si>
  <si>
    <t>Unit Sold Row</t>
  </si>
  <si>
    <t>Soumya</t>
  </si>
  <si>
    <t>RONY</t>
  </si>
  <si>
    <t>COUNT</t>
  </si>
  <si>
    <t>Total Sale Amount</t>
  </si>
  <si>
    <t>Grade Using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</si>
</sst>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2499465926084170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4B1-A6E1-4E7B-990F-EBC0EAD1370F}">
  <dimension ref="A1:Z373"/>
  <sheetViews>
    <sheetView topLeftCell="A369" zoomScaleNormal="100" workbookViewId="0">
      <selection sqref="A1:N373"/>
    </sheetView>
  </sheetViews>
  <sheetFormatPr defaultRowHeight="14.5" x14ac:dyDescent="0.35"/>
  <cols>
    <col min="1" max="1" width="8" bestFit="1" customWidth="1"/>
    <col min="2" max="2" width="11.1796875" bestFit="1" customWidth="1"/>
    <col min="3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26953125" bestFit="1" customWidth="1"/>
    <col min="9" max="9" width="15.1796875" bestFit="1" customWidth="1"/>
    <col min="10" max="10" width="12.6328125" bestFit="1" customWidth="1"/>
    <col min="11" max="11" width="7.08984375" bestFit="1" customWidth="1"/>
    <col min="12" max="12" width="9.08984375" bestFit="1" customWidth="1"/>
    <col min="14" max="14" width="10" bestFit="1" customWidth="1"/>
    <col min="15" max="15" width="9.453125" bestFit="1" customWidth="1"/>
    <col min="16" max="16" width="13.54296875" customWidth="1"/>
    <col min="17" max="17" width="16.08984375" customWidth="1"/>
    <col min="18" max="18" width="12.26953125" customWidth="1"/>
    <col min="21" max="21" width="15.7265625" customWidth="1"/>
    <col min="22" max="22" width="17.453125" customWidth="1"/>
    <col min="23" max="23" width="17.6328125" customWidth="1"/>
    <col min="24" max="24" width="16.08984375" customWidth="1"/>
    <col min="25" max="25" width="11.6328125" customWidth="1"/>
    <col min="26" max="26" width="17.0898437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6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  <c r="T2" t="s">
        <v>88</v>
      </c>
    </row>
    <row r="3" spans="1:26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  <c r="T3">
        <f>SUM(L2:L373)</f>
        <v>1837</v>
      </c>
    </row>
    <row r="4" spans="1:26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6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>
        <f>AVERAGE(M2:M373)</f>
        <v>2001.1641935483883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6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t="s">
        <v>20</v>
      </c>
      <c r="U6" t="s">
        <v>89</v>
      </c>
      <c r="V6" s="3">
        <f>SUMIF(K2:K373,T6,L2:L373)</f>
        <v>369</v>
      </c>
    </row>
    <row r="7" spans="1:26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6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1" t="s">
        <v>8</v>
      </c>
      <c r="W8" s="1" t="s">
        <v>91</v>
      </c>
      <c r="X8" s="1" t="s">
        <v>92</v>
      </c>
    </row>
    <row r="9" spans="1:26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  <c r="V9" s="1" t="s">
        <v>18</v>
      </c>
      <c r="W9" s="1" t="s">
        <v>20</v>
      </c>
      <c r="X9" s="1">
        <f>SUMIFS(L2:L373,I2:I373,V9,K2:K373,W9)</f>
        <v>39</v>
      </c>
    </row>
    <row r="10" spans="1:26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6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X11" s="1" t="s">
        <v>93</v>
      </c>
      <c r="Y11" s="1">
        <f>AVERAGE(M2:M373)</f>
        <v>2001.1641935483883</v>
      </c>
    </row>
    <row r="12" spans="1:26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  <c r="Z12" s="4" t="s">
        <v>98</v>
      </c>
    </row>
    <row r="13" spans="1:26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Z13" s="1">
        <v>64</v>
      </c>
    </row>
    <row r="14" spans="1:26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Z14" s="1" t="b">
        <v>1</v>
      </c>
    </row>
    <row r="15" spans="1:26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U15" s="1" t="s">
        <v>8</v>
      </c>
      <c r="V15" s="1" t="s">
        <v>91</v>
      </c>
      <c r="W15" s="1" t="s">
        <v>93</v>
      </c>
      <c r="Z15" s="1">
        <v>56</v>
      </c>
    </row>
    <row r="16" spans="1:26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  <c r="U16" s="1" t="s">
        <v>18</v>
      </c>
      <c r="V16" s="1" t="s">
        <v>20</v>
      </c>
      <c r="W16" s="1">
        <f>AVERAGEIFS(O2:O373,I2:I373,U16,K2:K373,V16)</f>
        <v>17983.055</v>
      </c>
      <c r="Z16" s="1">
        <f>AVERAGEA(Z12:Z15)</f>
        <v>30.25</v>
      </c>
    </row>
    <row r="17" spans="1:25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25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25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25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Y20" s="1" t="s">
        <v>98</v>
      </c>
    </row>
    <row r="21" spans="1:25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Y21" s="1">
        <v>64</v>
      </c>
    </row>
    <row r="22" spans="1:25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 t="s">
        <v>8</v>
      </c>
      <c r="V22" s="1" t="s">
        <v>91</v>
      </c>
      <c r="W22" s="1" t="s">
        <v>100</v>
      </c>
      <c r="Y22" s="1" t="s">
        <v>99</v>
      </c>
    </row>
    <row r="23" spans="1:25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  <c r="U23" s="1" t="s">
        <v>18</v>
      </c>
      <c r="V23" s="1" t="s">
        <v>20</v>
      </c>
      <c r="W23" s="4">
        <f>COUNTIFS(I2:I373,U23,K2:K373,V23)</f>
        <v>6</v>
      </c>
      <c r="Y23" s="1">
        <v>56</v>
      </c>
    </row>
    <row r="24" spans="1:25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  <c r="Y24" s="1">
        <f>AVERAGEA(Y20:Y23)</f>
        <v>30</v>
      </c>
    </row>
    <row r="25" spans="1:25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5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25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25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25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25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25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25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23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23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23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U35" s="5" t="s">
        <v>101</v>
      </c>
      <c r="V35" s="1">
        <f>SUMPRODUCT(L2:L373,M2:M373)</f>
        <v>3664518.5400000005</v>
      </c>
    </row>
    <row r="36" spans="1:23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23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  <c r="U37" s="5" t="s">
        <v>20</v>
      </c>
      <c r="V37" s="5" t="s">
        <v>101</v>
      </c>
      <c r="W37" s="5" cm="1">
        <f t="array" ref="W37">SUMPRODUCT(L2:L373,M2:M373,--(K2:K373=U37))</f>
        <v>737855.54000000015</v>
      </c>
    </row>
    <row r="38" spans="1:23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  <c r="U38" s="5" t="s">
        <v>27</v>
      </c>
      <c r="W38" s="5" cm="1">
        <f t="array" ref="W38">SUMPRODUCT($L$3:$L$374,$M$3:$M$374,--(K3:K374=U38))</f>
        <v>608728.77999999991</v>
      </c>
    </row>
    <row r="39" spans="1:23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  <c r="U39" s="5" t="s">
        <v>46</v>
      </c>
      <c r="W39" s="5" cm="1">
        <f t="array" ref="W39">SUMPRODUCT($L$3:$L$374,$M$3:$M$374,--(K4:K375=U39))</f>
        <v>718747.2699999999</v>
      </c>
    </row>
    <row r="40" spans="1:23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  <c r="U40" s="5" t="s">
        <v>32</v>
      </c>
      <c r="W40" s="5" cm="1">
        <f t="array" ref="W40">SUMPRODUCT($L$3:$L$374,$M$3:$M$374,--(K5:K376=U40))</f>
        <v>778094.16000000015</v>
      </c>
    </row>
    <row r="41" spans="1:23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3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23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23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3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23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3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23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D22C-36A7-4C04-BD4A-4458061824D8}">
  <dimension ref="A1:L9"/>
  <sheetViews>
    <sheetView workbookViewId="0">
      <selection activeCell="H2" sqref="H2"/>
    </sheetView>
  </sheetViews>
  <sheetFormatPr defaultRowHeight="14.5" x14ac:dyDescent="0.35"/>
  <cols>
    <col min="1" max="1" width="13.7265625" customWidth="1"/>
    <col min="8" max="8" width="17" customWidth="1"/>
  </cols>
  <sheetData>
    <row r="1" spans="1:12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79</v>
      </c>
      <c r="G1" s="1" t="s">
        <v>78</v>
      </c>
      <c r="H1" s="1" t="s">
        <v>102</v>
      </c>
      <c r="L1" t="s">
        <v>90</v>
      </c>
    </row>
    <row r="2" spans="1:12" x14ac:dyDescent="0.35">
      <c r="A2" s="1" t="s">
        <v>80</v>
      </c>
      <c r="B2" s="1">
        <v>56</v>
      </c>
      <c r="C2" s="1">
        <v>88</v>
      </c>
      <c r="D2" s="1">
        <v>78</v>
      </c>
      <c r="E2" s="1">
        <f>SUM(B2:D2)</f>
        <v>222</v>
      </c>
      <c r="F2" s="1">
        <f>E2/3</f>
        <v>74</v>
      </c>
      <c r="G2" s="1" t="str">
        <f>IF(F2&gt;=90,"A",IF(F2&gt;=70,"B",IF(F2&gt;=50,"C",IF(F2&gt;=40,"PASS",IF(F2&lt;40,"FAIL",)))))</f>
        <v>B</v>
      </c>
      <c r="H2" s="1"/>
    </row>
    <row r="3" spans="1:12" x14ac:dyDescent="0.35">
      <c r="A3" s="1" t="s">
        <v>81</v>
      </c>
      <c r="B3" s="1">
        <v>78</v>
      </c>
      <c r="C3" s="1">
        <v>87</v>
      </c>
      <c r="D3" s="1">
        <v>98</v>
      </c>
      <c r="E3" s="1">
        <f t="shared" ref="E3:E9" si="0">SUM(B3:D3)</f>
        <v>263</v>
      </c>
      <c r="F3" s="1">
        <f t="shared" ref="F3:F9" si="1">E3/3</f>
        <v>87.666666666666671</v>
      </c>
      <c r="G3" s="1" t="str">
        <f t="shared" ref="G3:G9" si="2">IF(F3&gt;=90,"A",IF(F3&gt;=70,"B",IF(F3&gt;=50,"C",IF(F3&gt;=40,"PASS",IF(F3&lt;40,"FAIL",)))))</f>
        <v>B</v>
      </c>
      <c r="H3" s="1"/>
    </row>
    <row r="4" spans="1:12" x14ac:dyDescent="0.35">
      <c r="A4" s="1" t="s">
        <v>82</v>
      </c>
      <c r="B4" s="1">
        <v>62</v>
      </c>
      <c r="C4" s="1">
        <v>56</v>
      </c>
      <c r="D4" s="1">
        <v>57</v>
      </c>
      <c r="E4" s="1">
        <f t="shared" si="0"/>
        <v>175</v>
      </c>
      <c r="F4" s="1">
        <f t="shared" si="1"/>
        <v>58.333333333333336</v>
      </c>
      <c r="G4" s="1" t="str">
        <f t="shared" si="2"/>
        <v>C</v>
      </c>
      <c r="H4" s="1"/>
    </row>
    <row r="5" spans="1:12" x14ac:dyDescent="0.35">
      <c r="A5" s="1" t="s">
        <v>83</v>
      </c>
      <c r="B5" s="1">
        <v>80</v>
      </c>
      <c r="C5" s="1">
        <v>76</v>
      </c>
      <c r="D5" s="1">
        <v>86</v>
      </c>
      <c r="E5" s="1">
        <f t="shared" si="0"/>
        <v>242</v>
      </c>
      <c r="F5" s="1">
        <f t="shared" si="1"/>
        <v>80.666666666666671</v>
      </c>
      <c r="G5" s="1" t="str">
        <f t="shared" si="2"/>
        <v>B</v>
      </c>
      <c r="H5" s="1"/>
    </row>
    <row r="6" spans="1:12" x14ac:dyDescent="0.35">
      <c r="A6" s="1" t="s">
        <v>84</v>
      </c>
      <c r="B6" s="1">
        <v>96</v>
      </c>
      <c r="C6" s="1">
        <v>45</v>
      </c>
      <c r="D6" s="1">
        <v>45</v>
      </c>
      <c r="E6" s="1">
        <f t="shared" si="0"/>
        <v>186</v>
      </c>
      <c r="F6" s="1">
        <f t="shared" si="1"/>
        <v>62</v>
      </c>
      <c r="G6" s="1" t="str">
        <f t="shared" si="2"/>
        <v>C</v>
      </c>
      <c r="H6" s="1"/>
    </row>
    <row r="7" spans="1:12" x14ac:dyDescent="0.35">
      <c r="A7" s="1" t="s">
        <v>85</v>
      </c>
      <c r="B7" s="1">
        <v>57</v>
      </c>
      <c r="C7" s="1">
        <v>76</v>
      </c>
      <c r="D7" s="1">
        <v>94</v>
      </c>
      <c r="E7" s="1">
        <f t="shared" si="0"/>
        <v>227</v>
      </c>
      <c r="F7" s="1">
        <f t="shared" si="1"/>
        <v>75.666666666666671</v>
      </c>
      <c r="G7" s="1" t="str">
        <f t="shared" si="2"/>
        <v>B</v>
      </c>
      <c r="H7" s="1"/>
    </row>
    <row r="8" spans="1:12" x14ac:dyDescent="0.35">
      <c r="A8" s="1" t="s">
        <v>86</v>
      </c>
      <c r="B8" s="1">
        <v>79</v>
      </c>
      <c r="C8" s="1">
        <v>87</v>
      </c>
      <c r="D8" s="1">
        <v>56</v>
      </c>
      <c r="E8" s="1">
        <f t="shared" si="0"/>
        <v>222</v>
      </c>
      <c r="F8" s="1">
        <f t="shared" si="1"/>
        <v>74</v>
      </c>
      <c r="G8" s="1" t="str">
        <f t="shared" si="2"/>
        <v>B</v>
      </c>
      <c r="H8" s="1"/>
    </row>
    <row r="9" spans="1:12" x14ac:dyDescent="0.35">
      <c r="A9" s="1" t="s">
        <v>87</v>
      </c>
      <c r="B9" s="1">
        <v>37</v>
      </c>
      <c r="C9" s="1">
        <v>20</v>
      </c>
      <c r="D9" s="1">
        <v>27</v>
      </c>
      <c r="E9" s="1">
        <f t="shared" si="0"/>
        <v>84</v>
      </c>
      <c r="F9" s="1">
        <f t="shared" si="1"/>
        <v>28</v>
      </c>
      <c r="G9" s="1" t="str">
        <f t="shared" si="2"/>
        <v>FAIL</v>
      </c>
      <c r="H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C60A-EE9E-4C9C-84B4-75F857CDB4CF}">
  <dimension ref="A1:P373"/>
  <sheetViews>
    <sheetView tabSelected="1" topLeftCell="D1" workbookViewId="0">
      <selection activeCell="Q22" sqref="Q22"/>
    </sheetView>
  </sheetViews>
  <sheetFormatPr defaultRowHeight="14.5" x14ac:dyDescent="0.35"/>
  <cols>
    <col min="2" max="2" width="12.81640625" customWidth="1"/>
    <col min="3" max="3" width="11.7265625" customWidth="1"/>
    <col min="4" max="4" width="10.453125" customWidth="1"/>
    <col min="5" max="5" width="11.08984375" customWidth="1"/>
    <col min="6" max="6" width="12.453125" customWidth="1"/>
    <col min="7" max="7" width="13.08984375" customWidth="1"/>
    <col min="8" max="8" width="16.36328125" customWidth="1"/>
    <col min="9" max="9" width="17.36328125" customWidth="1"/>
    <col min="10" max="10" width="14.7265625" customWidth="1"/>
    <col min="12" max="12" width="10.7265625" customWidth="1"/>
    <col min="14" max="14" width="9.90625" customWidth="1"/>
    <col min="15" max="15" width="11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6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6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6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5" t="s">
        <v>12</v>
      </c>
      <c r="P5" s="5">
        <v>1000</v>
      </c>
    </row>
    <row r="6" spans="1:16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6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5" t="s">
        <v>5</v>
      </c>
      <c r="P7" s="1" t="s">
        <v>37</v>
      </c>
    </row>
    <row r="8" spans="1:16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6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6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6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6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6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</row>
    <row r="14" spans="1:16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6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6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conditionalFormatting sqref="M2:M3 M5:M373">
    <cfRule type="cellIs" dxfId="2" priority="3" operator="lessThan">
      <formula>$P$5</formula>
    </cfRule>
  </conditionalFormatting>
  <conditionalFormatting sqref="M2:M3 M5:M374">
    <cfRule type="cellIs" dxfId="1" priority="4" operator="greaterThanOrEqual">
      <formula>3000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ECCB75F-A093-445C-A544-4F4F6AE446AD}">
            <xm:f>NOT(ISERROR(SEARCH($P$7,F2)))</xm:f>
            <xm:f>$P$7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F2:F374</xm:sqref>
        </x14:conditionalFormatting>
        <x14:conditionalFormatting xmlns:xm="http://schemas.microsoft.com/office/excel/2006/main">
          <x14:cfRule type="containsText" priority="1" operator="containsText" id="{48A4C9AC-C191-4803-A58E-2436FF46573A}">
            <xm:f>NOT(ISERROR(SEARCH($P$7,P7)))</xm:f>
            <xm:f>$P$7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D48-FA8E-4FD8-919F-8ABC375A2FFC}">
  <dimension ref="A1:I19"/>
  <sheetViews>
    <sheetView workbookViewId="0">
      <selection activeCell="H22" sqref="H22"/>
    </sheetView>
  </sheetViews>
  <sheetFormatPr defaultRowHeight="14.5" x14ac:dyDescent="0.35"/>
  <cols>
    <col min="1" max="1" width="14.1796875" customWidth="1"/>
    <col min="3" max="3" width="9.90625" customWidth="1"/>
    <col min="7" max="7" width="13" customWidth="1"/>
    <col min="8" max="8" width="17.26953125" customWidth="1"/>
    <col min="9" max="9" width="11.54296875" customWidth="1"/>
  </cols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19</v>
      </c>
      <c r="B2" s="1" t="s">
        <v>20</v>
      </c>
      <c r="C2" s="1"/>
      <c r="D2" s="1">
        <v>2843.87</v>
      </c>
    </row>
    <row r="3" spans="1:4" x14ac:dyDescent="0.35">
      <c r="A3" s="1" t="s">
        <v>26</v>
      </c>
      <c r="B3" s="1" t="s">
        <v>27</v>
      </c>
      <c r="C3" s="1">
        <v>9</v>
      </c>
      <c r="D3" s="1">
        <v>2525.23</v>
      </c>
    </row>
    <row r="4" spans="1:4" x14ac:dyDescent="0.35">
      <c r="A4" s="1" t="s">
        <v>31</v>
      </c>
      <c r="B4" s="1" t="s">
        <v>32</v>
      </c>
      <c r="C4" s="1">
        <v>6</v>
      </c>
      <c r="D4" s="1">
        <v>3474.34</v>
      </c>
    </row>
    <row r="5" spans="1:4" x14ac:dyDescent="0.35">
      <c r="A5" s="1" t="s">
        <v>35</v>
      </c>
      <c r="B5" s="1" t="s">
        <v>20</v>
      </c>
      <c r="C5" s="1"/>
      <c r="D5" s="1">
        <v>1008.79</v>
      </c>
    </row>
    <row r="6" spans="1:4" x14ac:dyDescent="0.35">
      <c r="A6" s="1" t="s">
        <v>38</v>
      </c>
      <c r="B6" s="1" t="s">
        <v>20</v>
      </c>
      <c r="C6" s="1">
        <v>7</v>
      </c>
      <c r="D6" s="1">
        <v>3511.47</v>
      </c>
    </row>
    <row r="7" spans="1:4" x14ac:dyDescent="0.35">
      <c r="A7" s="1" t="s">
        <v>42</v>
      </c>
      <c r="B7" s="1" t="s">
        <v>32</v>
      </c>
      <c r="C7" s="1">
        <v>3</v>
      </c>
      <c r="D7" s="1">
        <v>3189.55</v>
      </c>
    </row>
    <row r="8" spans="1:4" x14ac:dyDescent="0.35">
      <c r="A8" s="1" t="s">
        <v>31</v>
      </c>
      <c r="B8" s="1" t="s">
        <v>44</v>
      </c>
      <c r="C8" s="1"/>
      <c r="D8" s="1">
        <v>3030.42</v>
      </c>
    </row>
    <row r="9" spans="1:4" x14ac:dyDescent="0.35">
      <c r="A9" s="1" t="s">
        <v>31</v>
      </c>
      <c r="B9" s="1" t="s">
        <v>46</v>
      </c>
      <c r="C9" s="1">
        <v>4</v>
      </c>
      <c r="D9" s="1">
        <v>2310.83</v>
      </c>
    </row>
    <row r="10" spans="1:4" x14ac:dyDescent="0.35">
      <c r="A10" s="1" t="s">
        <v>47</v>
      </c>
      <c r="B10" s="1" t="s">
        <v>27</v>
      </c>
      <c r="C10" s="1">
        <v>5</v>
      </c>
      <c r="D10" s="1">
        <v>1098.04</v>
      </c>
    </row>
    <row r="11" spans="1:4" x14ac:dyDescent="0.35">
      <c r="A11" s="1" t="s">
        <v>49</v>
      </c>
      <c r="B11" s="1" t="s">
        <v>46</v>
      </c>
      <c r="C11" s="1">
        <v>5</v>
      </c>
      <c r="D11" s="1">
        <v>1780.66</v>
      </c>
    </row>
    <row r="12" spans="1:4" x14ac:dyDescent="0.35">
      <c r="A12" s="1" t="s">
        <v>49</v>
      </c>
      <c r="B12" s="1" t="s">
        <v>32</v>
      </c>
      <c r="C12" s="1"/>
      <c r="D12" s="1">
        <v>3205.25</v>
      </c>
    </row>
    <row r="13" spans="1:4" x14ac:dyDescent="0.35">
      <c r="A13" s="1" t="s">
        <v>50</v>
      </c>
      <c r="B13" s="1" t="s">
        <v>20</v>
      </c>
      <c r="C13" s="1">
        <v>6</v>
      </c>
      <c r="D13" s="1">
        <v>272.35000000000002</v>
      </c>
    </row>
    <row r="14" spans="1:4" x14ac:dyDescent="0.35">
      <c r="A14" s="1" t="s">
        <v>42</v>
      </c>
      <c r="B14" s="1" t="s">
        <v>20</v>
      </c>
      <c r="C14" s="1">
        <v>8</v>
      </c>
      <c r="D14" s="1">
        <v>3160.9</v>
      </c>
    </row>
    <row r="15" spans="1:4" x14ac:dyDescent="0.35">
      <c r="A15" s="1" t="s">
        <v>35</v>
      </c>
      <c r="B15" s="1" t="s">
        <v>27</v>
      </c>
      <c r="C15" s="1">
        <v>8</v>
      </c>
      <c r="D15" s="1">
        <v>1074.27</v>
      </c>
    </row>
    <row r="17" spans="7:9" x14ac:dyDescent="0.35">
      <c r="G17" s="1" t="s">
        <v>94</v>
      </c>
      <c r="H17" s="1" t="s">
        <v>95</v>
      </c>
      <c r="I17" s="1">
        <f>COUNTA(A2:A15)</f>
        <v>14</v>
      </c>
    </row>
    <row r="18" spans="7:9" x14ac:dyDescent="0.35">
      <c r="G18" s="1" t="s">
        <v>96</v>
      </c>
      <c r="H18" s="1">
        <f>COUNTBLANK(C2:C15)</f>
        <v>4</v>
      </c>
    </row>
    <row r="19" spans="7:9" x14ac:dyDescent="0.35">
      <c r="G19" s="1" t="s">
        <v>97</v>
      </c>
      <c r="H19" s="1">
        <f>COUNT(C2:C15)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2026-02-23T04:36:58Z</dcterms:created>
  <dcterms:modified xsi:type="dcterms:W3CDTF">2026-02-25T06:27:40Z</dcterms:modified>
</cp:coreProperties>
</file>