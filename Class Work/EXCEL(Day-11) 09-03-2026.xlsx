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32f5b3d3d3400e/Desktop/"/>
    </mc:Choice>
  </mc:AlternateContent>
  <xr:revisionPtr revIDLastSave="121" documentId="8_{41226B2A-435E-45E8-A428-201D4978985C}" xr6:coauthVersionLast="47" xr6:coauthVersionMax="47" xr10:uidLastSave="{7F893025-4673-4508-926A-FF6F2BDDFE50}"/>
  <bookViews>
    <workbookView xWindow="-110" yWindow="-110" windowWidth="19420" windowHeight="11020" activeTab="1" xr2:uid="{83DD0563-B00F-404C-81F3-2BE02511DC15}"/>
  </bookViews>
  <sheets>
    <sheet name="Products" sheetId="1" r:id="rId1"/>
    <sheet name="Ord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2" i="2"/>
  <c r="D3" i="2"/>
  <c r="D4" i="2"/>
  <c r="D5" i="2"/>
  <c r="D6" i="2"/>
  <c r="D7" i="2"/>
  <c r="D3" i="1"/>
  <c r="D4" i="1"/>
  <c r="D5" i="1"/>
  <c r="D6" i="1"/>
  <c r="D7" i="1"/>
  <c r="D2" i="1"/>
  <c r="I3" i="2"/>
  <c r="I4" i="2"/>
  <c r="I5" i="2"/>
  <c r="I6" i="2"/>
  <c r="I2" i="2"/>
  <c r="H3" i="2"/>
  <c r="H4" i="2"/>
  <c r="H5" i="2"/>
  <c r="H6" i="2"/>
  <c r="H7" i="2"/>
  <c r="I7" i="2" s="1"/>
  <c r="H2" i="2"/>
  <c r="E2" i="2"/>
  <c r="F2" i="2" s="1"/>
  <c r="G3" i="2"/>
  <c r="G4" i="2"/>
  <c r="G5" i="2"/>
  <c r="G6" i="2"/>
  <c r="G7" i="2"/>
  <c r="G2" i="2"/>
  <c r="F3" i="2"/>
  <c r="F4" i="2"/>
  <c r="F5" i="2"/>
  <c r="F6" i="2"/>
  <c r="E3" i="2"/>
  <c r="E4" i="2"/>
  <c r="E5" i="2"/>
  <c r="E6" i="2"/>
  <c r="E7" i="2"/>
  <c r="F7" i="2" s="1"/>
  <c r="J2" i="2" s="1"/>
  <c r="D2" i="2"/>
</calcChain>
</file>

<file path=xl/sharedStrings.xml><?xml version="1.0" encoding="utf-8"?>
<sst xmlns="http://schemas.openxmlformats.org/spreadsheetml/2006/main" count="21" uniqueCount="19">
  <si>
    <t>ProductID</t>
  </si>
  <si>
    <t>Product</t>
  </si>
  <si>
    <t>Product A</t>
  </si>
  <si>
    <t>Product B</t>
  </si>
  <si>
    <t>Product C</t>
  </si>
  <si>
    <t>Product D</t>
  </si>
  <si>
    <t>Product E</t>
  </si>
  <si>
    <t>Product F</t>
  </si>
  <si>
    <t>Price</t>
  </si>
  <si>
    <t>OrderID</t>
  </si>
  <si>
    <t>Quantity</t>
  </si>
  <si>
    <t>Total Price</t>
  </si>
  <si>
    <t>Check Product</t>
  </si>
  <si>
    <t>Original Price</t>
  </si>
  <si>
    <t>Discounted Price</t>
  </si>
  <si>
    <t>MAX Order Value</t>
  </si>
  <si>
    <t>Order Status</t>
  </si>
  <si>
    <t>Product Name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</si>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</sst>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2B83E-8E00-45CA-AC22-49CBA190E027}">
  <dimension ref="A1:D7"/>
  <sheetViews>
    <sheetView workbookViewId="0">
      <selection activeCell="D2" sqref="D2"/>
    </sheetView>
  </sheetViews>
  <sheetFormatPr defaultRowHeight="14.5" x14ac:dyDescent="0.35"/>
  <cols>
    <col min="1" max="1" width="9.7265625" customWidth="1"/>
    <col min="2" max="2" width="9.36328125" customWidth="1"/>
    <col min="3" max="3" width="9.08984375" customWidth="1"/>
    <col min="4" max="4" width="12.6328125" customWidth="1"/>
  </cols>
  <sheetData>
    <row r="1" spans="1:4" ht="17" customHeight="1" x14ac:dyDescent="0.35">
      <c r="A1" s="3" t="s">
        <v>0</v>
      </c>
      <c r="B1" s="2" t="s">
        <v>1</v>
      </c>
      <c r="C1" s="2" t="s">
        <v>8</v>
      </c>
      <c r="D1" s="2" t="s">
        <v>16</v>
      </c>
    </row>
    <row r="2" spans="1:4" x14ac:dyDescent="0.35">
      <c r="A2" s="1">
        <v>101</v>
      </c>
      <c r="B2" s="1" t="s">
        <v>2</v>
      </c>
      <c r="C2" s="1">
        <v>120</v>
      </c>
      <c r="D2" s="1" t="str">
        <f>IF(ISNA(VLOOKUP(A2,Orders!$B$2:$B$7,1,0)),"Not Ordered","Ordered")</f>
        <v>Ordered</v>
      </c>
    </row>
    <row r="3" spans="1:4" x14ac:dyDescent="0.35">
      <c r="A3" s="1">
        <v>102</v>
      </c>
      <c r="B3" s="1" t="s">
        <v>3</v>
      </c>
      <c r="C3" s="1">
        <v>150</v>
      </c>
      <c r="D3" s="1" t="str">
        <f>IF(ISNA(VLOOKUP(A3,Orders!$B$2:$B$7,1,0)),"Not Ordered","Ordered")</f>
        <v>Ordered</v>
      </c>
    </row>
    <row r="4" spans="1:4" x14ac:dyDescent="0.35">
      <c r="A4" s="1">
        <v>103</v>
      </c>
      <c r="B4" s="1" t="s">
        <v>4</v>
      </c>
      <c r="C4" s="1">
        <v>200</v>
      </c>
      <c r="D4" s="1" t="str">
        <f>IF(ISNA(VLOOKUP(A4,Orders!$B$2:$B$7,1,0)),"Not Ordered","Ordered")</f>
        <v>Ordered</v>
      </c>
    </row>
    <row r="5" spans="1:4" x14ac:dyDescent="0.35">
      <c r="A5" s="1">
        <v>104</v>
      </c>
      <c r="B5" s="1" t="s">
        <v>5</v>
      </c>
      <c r="C5" s="1">
        <v>90</v>
      </c>
      <c r="D5" s="1" t="str">
        <f>IF(ISNA(VLOOKUP(A5,Orders!$B$2:$B$7,1,0)),"Not Ordered","Ordered")</f>
        <v>Ordered</v>
      </c>
    </row>
    <row r="6" spans="1:4" x14ac:dyDescent="0.35">
      <c r="A6" s="1">
        <v>105</v>
      </c>
      <c r="B6" s="1" t="s">
        <v>6</v>
      </c>
      <c r="C6" s="1">
        <v>220</v>
      </c>
      <c r="D6" s="1" t="str">
        <f>IF(ISNA(VLOOKUP(A6,Orders!$B$2:$B$7,1,0)),"Not Ordered","Ordered")</f>
        <v>Ordered</v>
      </c>
    </row>
    <row r="7" spans="1:4" x14ac:dyDescent="0.35">
      <c r="A7" s="1">
        <v>106</v>
      </c>
      <c r="B7" s="1" t="s">
        <v>7</v>
      </c>
      <c r="C7" s="1">
        <v>130</v>
      </c>
      <c r="D7" s="1" t="str">
        <f>IF(ISNA(VLOOKUP(A7,Orders!$B$2:$B$7,1,0)),"Not Ordered","Ordered")</f>
        <v>Ordered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A890-044E-4743-8839-395893A5C171}">
  <dimension ref="A1:K7"/>
  <sheetViews>
    <sheetView tabSelected="1" workbookViewId="0">
      <selection activeCell="K12" sqref="K12"/>
    </sheetView>
  </sheetViews>
  <sheetFormatPr defaultRowHeight="14.5" x14ac:dyDescent="0.35"/>
  <cols>
    <col min="4" max="4" width="13.08984375" customWidth="1"/>
    <col min="6" max="6" width="9.54296875" customWidth="1"/>
    <col min="7" max="7" width="13.6328125" customWidth="1"/>
    <col min="8" max="8" width="12" customWidth="1"/>
    <col min="9" max="9" width="15.36328125" customWidth="1"/>
    <col min="10" max="10" width="15.54296875" customWidth="1"/>
    <col min="11" max="11" width="16.1796875" customWidth="1"/>
  </cols>
  <sheetData>
    <row r="1" spans="1:11" x14ac:dyDescent="0.35">
      <c r="A1" s="2" t="s">
        <v>9</v>
      </c>
      <c r="B1" s="2" t="s">
        <v>0</v>
      </c>
      <c r="C1" s="2" t="s">
        <v>10</v>
      </c>
      <c r="D1" s="2" t="s">
        <v>17</v>
      </c>
      <c r="E1" s="2" t="s">
        <v>8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18</v>
      </c>
    </row>
    <row r="2" spans="1:11" x14ac:dyDescent="0.35">
      <c r="A2" s="1">
        <v>1</v>
      </c>
      <c r="B2" s="1">
        <v>101</v>
      </c>
      <c r="C2" s="1">
        <v>2</v>
      </c>
      <c r="D2" s="1" t="str">
        <f>VLOOKUP(B2,Products!$A$2:$C$7,2,0)</f>
        <v>Product A</v>
      </c>
      <c r="E2" s="1">
        <f>VLOOKUP(B2,Products!$A$2:$C$7,3,FALSE)</f>
        <v>120</v>
      </c>
      <c r="F2" s="1">
        <f>C2*E2</f>
        <v>240</v>
      </c>
      <c r="G2" s="1">
        <f>IFERROR(VLOOKUP(B2,Products!$A$2:$C$7,1,0),"Not Found")</f>
        <v>101</v>
      </c>
      <c r="H2" s="1">
        <f>VLOOKUP(B2,Products!$A$2:$C$7,3,FALSE)</f>
        <v>120</v>
      </c>
      <c r="I2" s="1">
        <f>H2*(1-10%)</f>
        <v>108</v>
      </c>
      <c r="J2" s="1">
        <f>MAX(F2:F7)</f>
        <v>880</v>
      </c>
      <c r="K2" s="1">
        <f>SUMIF(Orders!D2:D7,D2,Orders!C2:C7)</f>
        <v>2</v>
      </c>
    </row>
    <row r="3" spans="1:11" x14ac:dyDescent="0.35">
      <c r="A3" s="1">
        <v>2</v>
      </c>
      <c r="B3" s="1">
        <v>103</v>
      </c>
      <c r="C3" s="1">
        <v>1</v>
      </c>
      <c r="D3" s="1" t="str">
        <f>VLOOKUP(B3,Products!$A$2:$C$7,2,0)</f>
        <v>Product C</v>
      </c>
      <c r="E3" s="1">
        <f>VLOOKUP(B3,Products!$A$2:$C$7,3,FALSE)</f>
        <v>200</v>
      </c>
      <c r="F3" s="1">
        <f t="shared" ref="F3:F7" si="0">C3*E3</f>
        <v>200</v>
      </c>
      <c r="G3" s="1">
        <f>IFERROR(VLOOKUP(B3,Products!$A$2:$C$7,1,0),"Not Found")</f>
        <v>103</v>
      </c>
      <c r="H3" s="1">
        <f>VLOOKUP(B3,Products!$A$2:$C$7,3,FALSE)</f>
        <v>200</v>
      </c>
      <c r="I3" s="1">
        <f t="shared" ref="I3:I7" si="1">H3*(1-10%)</f>
        <v>180</v>
      </c>
      <c r="J3" s="1"/>
      <c r="K3" s="1">
        <f>SUMIF(Orders!D3:D8,D3,Orders!C3:C8)</f>
        <v>1</v>
      </c>
    </row>
    <row r="4" spans="1:11" x14ac:dyDescent="0.35">
      <c r="A4" s="1">
        <v>3</v>
      </c>
      <c r="B4" s="1">
        <v>105</v>
      </c>
      <c r="C4" s="1">
        <v>4</v>
      </c>
      <c r="D4" s="1" t="str">
        <f>VLOOKUP(B4,Products!$A$2:$C$7,2,0)</f>
        <v>Product E</v>
      </c>
      <c r="E4" s="1">
        <f>VLOOKUP(B4,Products!$A$2:$C$7,3,FALSE)</f>
        <v>220</v>
      </c>
      <c r="F4" s="1">
        <f t="shared" si="0"/>
        <v>880</v>
      </c>
      <c r="G4" s="1">
        <f>IFERROR(VLOOKUP(B4,Products!$A$2:$C$7,1,0),"Not Found")</f>
        <v>105</v>
      </c>
      <c r="H4" s="1">
        <f>VLOOKUP(B4,Products!$A$2:$C$7,3,FALSE)</f>
        <v>220</v>
      </c>
      <c r="I4" s="1">
        <f t="shared" si="1"/>
        <v>198</v>
      </c>
      <c r="J4" s="1"/>
      <c r="K4" s="1">
        <f>SUMIF(Orders!D4:D9,D4,Orders!C4:C9)</f>
        <v>4</v>
      </c>
    </row>
    <row r="5" spans="1:11" x14ac:dyDescent="0.35">
      <c r="A5" s="1">
        <v>4</v>
      </c>
      <c r="B5" s="1">
        <v>106</v>
      </c>
      <c r="C5" s="1">
        <v>3</v>
      </c>
      <c r="D5" s="1" t="str">
        <f>VLOOKUP(B5,Products!$A$2:$C$7,2,0)</f>
        <v>Product F</v>
      </c>
      <c r="E5" s="1">
        <f>VLOOKUP(B5,Products!$A$2:$C$7,3,FALSE)</f>
        <v>130</v>
      </c>
      <c r="F5" s="1">
        <f t="shared" si="0"/>
        <v>390</v>
      </c>
      <c r="G5" s="1">
        <f>IFERROR(VLOOKUP(B5,Products!$A$2:$C$7,1,0),"Not Found")</f>
        <v>106</v>
      </c>
      <c r="H5" s="1">
        <f>VLOOKUP(B5,Products!$A$2:$C$7,3,FALSE)</f>
        <v>130</v>
      </c>
      <c r="I5" s="1">
        <f t="shared" si="1"/>
        <v>117</v>
      </c>
      <c r="J5" s="1"/>
      <c r="K5" s="1">
        <f>SUMIF(Orders!D5:D10,D5,Orders!C5:C10)</f>
        <v>3</v>
      </c>
    </row>
    <row r="6" spans="1:11" x14ac:dyDescent="0.35">
      <c r="A6" s="1">
        <v>5</v>
      </c>
      <c r="B6" s="1">
        <v>102</v>
      </c>
      <c r="C6" s="1">
        <v>5</v>
      </c>
      <c r="D6" s="1" t="str">
        <f>VLOOKUP(B6,Products!$A$2:$C$7,2,0)</f>
        <v>Product B</v>
      </c>
      <c r="E6" s="1">
        <f>VLOOKUP(B6,Products!$A$2:$C$7,3,FALSE)</f>
        <v>150</v>
      </c>
      <c r="F6" s="1">
        <f t="shared" si="0"/>
        <v>750</v>
      </c>
      <c r="G6" s="1">
        <f>IFERROR(VLOOKUP(B6,Products!$A$2:$C$7,1,0),"Not Found")</f>
        <v>102</v>
      </c>
      <c r="H6" s="1">
        <f>VLOOKUP(B6,Products!$A$2:$C$7,3,FALSE)</f>
        <v>150</v>
      </c>
      <c r="I6" s="1">
        <f t="shared" si="1"/>
        <v>135</v>
      </c>
      <c r="J6" s="1"/>
      <c r="K6" s="1">
        <f>SUMIF(Orders!D6:D11,D6,Orders!C6:C11)</f>
        <v>5</v>
      </c>
    </row>
    <row r="7" spans="1:11" x14ac:dyDescent="0.35">
      <c r="A7" s="1">
        <v>6</v>
      </c>
      <c r="B7" s="1">
        <v>104</v>
      </c>
      <c r="C7" s="1">
        <v>6</v>
      </c>
      <c r="D7" s="1" t="str">
        <f>VLOOKUP(B7,Products!$A$2:$C$7,2,0)</f>
        <v>Product D</v>
      </c>
      <c r="E7" s="1">
        <f>VLOOKUP(B7,Products!$A$2:$C$7,3,FALSE)</f>
        <v>90</v>
      </c>
      <c r="F7" s="1">
        <f t="shared" si="0"/>
        <v>540</v>
      </c>
      <c r="G7" s="1">
        <f>IFERROR(VLOOKUP(B7,Products!$A$2:$C$7,1,0),"Not Found")</f>
        <v>104</v>
      </c>
      <c r="H7" s="1">
        <f>VLOOKUP(B7,Products!$A$2:$C$7,3,FALSE)</f>
        <v>90</v>
      </c>
      <c r="I7" s="1">
        <f t="shared" si="1"/>
        <v>81</v>
      </c>
      <c r="J7" s="1"/>
      <c r="K7" s="1">
        <f>SUMIF(Orders!D7:D12,D7,Orders!C7:C12)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Das</dc:creator>
  <cp:lastModifiedBy>Soumyadip Das</cp:lastModifiedBy>
  <dcterms:created xsi:type="dcterms:W3CDTF">2026-03-09T04:49:10Z</dcterms:created>
  <dcterms:modified xsi:type="dcterms:W3CDTF">2026-03-09T12:19:12Z</dcterms:modified>
</cp:coreProperties>
</file>