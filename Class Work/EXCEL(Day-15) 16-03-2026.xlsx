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https://d.docs.live.net/9232f5b3d3d3400e/Desktop/"/>
    </mc:Choice>
  </mc:AlternateContent>
  <xr:revisionPtr revIDLastSave="88" documentId="8_{B86CB26F-9EB5-41B5-ABA9-2E8BF642CE8F}" xr6:coauthVersionLast="47" xr6:coauthVersionMax="47" xr10:uidLastSave="{41F22D00-83D4-489B-BCD5-714D54912733}"/>
  <bookViews>
    <workbookView xWindow="-110" yWindow="-110" windowWidth="19420" windowHeight="11020" xr2:uid="{D4D6DCA3-AE41-4FA6-846F-37DA5082FAD7}"/>
  </bookViews>
  <sheets>
    <sheet name="Sheet3" sheetId="3" r:id="rId1"/>
    <sheet name="Sheet1" sheetId="1" r:id="rId2"/>
    <sheet name="Sheet2" sheetId="2" r:id="rId3"/>
  </sheets>
  <definedNames>
    <definedName name="Slicer_Category">#N/A</definedName>
    <definedName name="Slicer_Region">#N/A</definedName>
  </definedNames>
  <calcPr calcId="191029"/>
  <pivotCaches>
    <pivotCache cacheId="10" r:id="rId4"/>
    <pivotCache cacheId="24"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2" i="1"/>
</calcChain>
</file>

<file path=xl/sharedStrings.xml><?xml version="1.0" encoding="utf-8"?>
<sst xmlns="http://schemas.openxmlformats.org/spreadsheetml/2006/main" count="876" uniqueCount="247">
  <si>
    <t>Order ID</t>
  </si>
  <si>
    <t>Order Date</t>
  </si>
  <si>
    <t>Customer Name</t>
  </si>
  <si>
    <t>Region</t>
  </si>
  <si>
    <t>Category</t>
  </si>
  <si>
    <t>Sub-Category</t>
  </si>
  <si>
    <t>Quantity</t>
  </si>
  <si>
    <t>Unit Price</t>
  </si>
  <si>
    <t>Discount</t>
  </si>
  <si>
    <t>Total Sales</t>
  </si>
  <si>
    <t>Profit</t>
  </si>
  <si>
    <t>Payment Mode</t>
  </si>
  <si>
    <t>ORD-1000</t>
  </si>
  <si>
    <t>Karan</t>
  </si>
  <si>
    <t>South</t>
  </si>
  <si>
    <t>Office Supplies</t>
  </si>
  <si>
    <t>Pens</t>
  </si>
  <si>
    <t>UPI</t>
  </si>
  <si>
    <t>ORD-1001</t>
  </si>
  <si>
    <t>Vikram</t>
  </si>
  <si>
    <t>East</t>
  </si>
  <si>
    <t>Technology</t>
  </si>
  <si>
    <t>Laptops</t>
  </si>
  <si>
    <t>Cash</t>
  </si>
  <si>
    <t>ORD-1002</t>
  </si>
  <si>
    <t>Furniture</t>
  </si>
  <si>
    <t>Bookcases</t>
  </si>
  <si>
    <t>ORD-1003</t>
  </si>
  <si>
    <t>Simran</t>
  </si>
  <si>
    <t>Paper</t>
  </si>
  <si>
    <t>Net Banking</t>
  </si>
  <si>
    <t>ORD-1004</t>
  </si>
  <si>
    <t>ORD-1005</t>
  </si>
  <si>
    <t>Sneha</t>
  </si>
  <si>
    <t>Credit Card</t>
  </si>
  <si>
    <t>ORD-1006</t>
  </si>
  <si>
    <t>Priya</t>
  </si>
  <si>
    <t>ORD-1007</t>
  </si>
  <si>
    <t>Raj</t>
  </si>
  <si>
    <t>West</t>
  </si>
  <si>
    <t>Binders</t>
  </si>
  <si>
    <t>ORD-1008</t>
  </si>
  <si>
    <t>North</t>
  </si>
  <si>
    <t>ORD-1009</t>
  </si>
  <si>
    <t>Amit</t>
  </si>
  <si>
    <t>Printers</t>
  </si>
  <si>
    <t>ORD-1010</t>
  </si>
  <si>
    <t>ORD-1011</t>
  </si>
  <si>
    <t>Mobiles</t>
  </si>
  <si>
    <t>ORD-1012</t>
  </si>
  <si>
    <t>ORD-1013</t>
  </si>
  <si>
    <t>Pooja</t>
  </si>
  <si>
    <t>Tables</t>
  </si>
  <si>
    <t>ORD-1014</t>
  </si>
  <si>
    <t>ORD-1015</t>
  </si>
  <si>
    <t>Chairs</t>
  </si>
  <si>
    <t>ORD-1016</t>
  </si>
  <si>
    <t>ORD-1017</t>
  </si>
  <si>
    <t>ORD-1018</t>
  </si>
  <si>
    <t>Neha</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</si>
  <si>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</si>
  <si>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</si>
  <si>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</si>
  <si>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</si>
  <si>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</si>
  <si>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</si>
  <si>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</si>
  <si>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</si>
  <si>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</si>
  <si>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</si>
  <si>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</si>
  <si>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</si>
  <si>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</si>
  <si>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</si>
  <si>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</si>
  <si>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</si>
  <si>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</si>
  <si>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</si>
  <si>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</si>
  <si>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</si>
  <si>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</si>
  <si>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</si>
  <si>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</si>
  <si>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</si>
  <si>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</si>
  <si>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</si>
  <si>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</si>
  <si>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</si>
  <si>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</si>
  <si>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</si>
  <si>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Ravi</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</si>
  <si>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</si>
  <si>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</si>
  <si>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</si>
  <si>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</si>
  <si>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</si>
  <si>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</si>
  <si>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</si>
  <si>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</si>
  <si>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</si>
  <si>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</si>
  <si>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</si>
  <si>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</si>
  <si>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</si>
  <si>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</si>
  <si>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</si>
  <si>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</si>
  <si>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</si>
  <si>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</si>
  <si>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</si>
  <si>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</si>
  <si>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</si>
  <si>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</si>
  <si>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</si>
  <si>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</si>
  <si>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</si>
  <si>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</si>
  <si>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</si>
  <si>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</si>
  <si>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</si>
  <si>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</si>
  <si>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</si>
  <si>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</si>
  <si>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</si>
  <si>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</si>
  <si>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</si>
  <si>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</si>
  <si>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</si>
  <si>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</si>
  <si>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</si>
  <si>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</si>
  <si>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</si>
  <si>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</si>
  <si>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</si>
  <si>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</si>
  <si>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</si>
  <si>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</si>
  <si>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</si>
  <si>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</si>
  <si>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</si>
  <si>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</si>
  <si>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</si>
  <si>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Row Labels</t>
  </si>
  <si>
    <t>Grand Total</t>
  </si>
  <si>
    <t>Sum of Total Sales</t>
  </si>
  <si>
    <t>Column Labels</t>
  </si>
  <si>
    <t>Total Sell 1</t>
  </si>
  <si>
    <t>Jan</t>
  </si>
  <si>
    <t>Feb</t>
  </si>
  <si>
    <t>Mar</t>
  </si>
  <si>
    <t>Apr</t>
  </si>
  <si>
    <t>May</t>
  </si>
  <si>
    <t>Jun</t>
  </si>
  <si>
    <t>Jul</t>
  </si>
  <si>
    <t>Aug</t>
  </si>
  <si>
    <t>Sep</t>
  </si>
  <si>
    <t>Oct</t>
  </si>
  <si>
    <t>Nov</t>
  </si>
  <si>
    <t>Dec</t>
  </si>
  <si>
    <t>02-Jan</t>
  </si>
  <si>
    <t>09-Jan</t>
  </si>
  <si>
    <t>14-Jan</t>
  </si>
  <si>
    <t>15-Jan</t>
  </si>
  <si>
    <t>21-Jan</t>
  </si>
  <si>
    <t>22-Jan</t>
  </si>
  <si>
    <t>04-Feb</t>
  </si>
  <si>
    <t>10-Feb</t>
  </si>
  <si>
    <t>13-Feb</t>
  </si>
  <si>
    <t>18-Feb</t>
  </si>
  <si>
    <t>19-Feb</t>
  </si>
  <si>
    <t>20-Feb</t>
  </si>
  <si>
    <t>22-Feb</t>
  </si>
  <si>
    <t>23-Feb</t>
  </si>
  <si>
    <t>24-Feb</t>
  </si>
  <si>
    <t>28-Feb</t>
  </si>
  <si>
    <t>06-Mar</t>
  </si>
  <si>
    <t>13-Mar</t>
  </si>
  <si>
    <t>22-Mar</t>
  </si>
  <si>
    <t>29-Mar</t>
  </si>
  <si>
    <t>30-Mar</t>
  </si>
  <si>
    <t>02-Apr</t>
  </si>
  <si>
    <t>10-Apr</t>
  </si>
  <si>
    <t>13-Apr</t>
  </si>
  <si>
    <t>16-Apr</t>
  </si>
  <si>
    <t>17-Apr</t>
  </si>
  <si>
    <t>02-May</t>
  </si>
  <si>
    <t>09-May</t>
  </si>
  <si>
    <t>11-May</t>
  </si>
  <si>
    <t>15-May</t>
  </si>
  <si>
    <t>30-May</t>
  </si>
  <si>
    <t>01-Jun</t>
  </si>
  <si>
    <t>06-Jun</t>
  </si>
  <si>
    <t>10-Jun</t>
  </si>
  <si>
    <t>11-Jun</t>
  </si>
  <si>
    <t>16-Jun</t>
  </si>
  <si>
    <t>19-Jun</t>
  </si>
  <si>
    <t>24-Jun</t>
  </si>
  <si>
    <t>07-Jul</t>
  </si>
  <si>
    <t>08-Jul</t>
  </si>
  <si>
    <t>09-Jul</t>
  </si>
  <si>
    <t>10-Jul</t>
  </si>
  <si>
    <t>11-Jul</t>
  </si>
  <si>
    <t>21-Jul</t>
  </si>
  <si>
    <t>25-Jul</t>
  </si>
  <si>
    <t>27-Jul</t>
  </si>
  <si>
    <t>01-Aug</t>
  </si>
  <si>
    <t>03-Aug</t>
  </si>
  <si>
    <t>05-Aug</t>
  </si>
  <si>
    <t>06-Aug</t>
  </si>
  <si>
    <t>24-Aug</t>
  </si>
  <si>
    <t>25-Aug</t>
  </si>
  <si>
    <t>30-Aug</t>
  </si>
  <si>
    <t>01-Sep</t>
  </si>
  <si>
    <t>09-Sep</t>
  </si>
  <si>
    <t>10-Sep</t>
  </si>
  <si>
    <t>15-Sep</t>
  </si>
  <si>
    <t>17-Sep</t>
  </si>
  <si>
    <t>21-Sep</t>
  </si>
  <si>
    <t>22-Sep</t>
  </si>
  <si>
    <t>27-Sep</t>
  </si>
  <si>
    <t>28-Sep</t>
  </si>
  <si>
    <t>01-Oct</t>
  </si>
  <si>
    <t>04-Oct</t>
  </si>
  <si>
    <t>07-Oct</t>
  </si>
  <si>
    <t>21-Oct</t>
  </si>
  <si>
    <t>23-Oct</t>
  </si>
  <si>
    <t>28-Oct</t>
  </si>
  <si>
    <t>31-Oct</t>
  </si>
  <si>
    <t>03-Nov</t>
  </si>
  <si>
    <t>05-Nov</t>
  </si>
  <si>
    <t>06-Nov</t>
  </si>
  <si>
    <t>10-Nov</t>
  </si>
  <si>
    <t>12-Nov</t>
  </si>
  <si>
    <t>16-Nov</t>
  </si>
  <si>
    <t>23-Nov</t>
  </si>
  <si>
    <t>25-Nov</t>
  </si>
  <si>
    <t>27-Nov</t>
  </si>
  <si>
    <t>04-Dec</t>
  </si>
  <si>
    <t>06-Dec</t>
  </si>
  <si>
    <t>10-Dec</t>
  </si>
  <si>
    <t>11-Dec</t>
  </si>
  <si>
    <t>12-Dec</t>
  </si>
  <si>
    <t>15-Dec</t>
  </si>
  <si>
    <t>17-Dec</t>
  </si>
  <si>
    <t>26-Dec</t>
  </si>
  <si>
    <t>30-Dec</t>
  </si>
  <si>
    <t>Sum of Field1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</si>
</sst>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1" fillId="0" borderId="1" xfId="0" applyFont="1" applyBorder="1"/>
    <xf numFmtId="0" fontId="0" fillId="0" borderId="1" xfId="0" applyBorder="1"/>
    <xf numFmtId="14" fontId="0" fillId="0" borderId="1" xfId="0" applyNumberFormat="1" applyBorder="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1" fillId="0"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2.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11</xdr:col>
      <xdr:colOff>711200</xdr:colOff>
      <xdr:row>20</xdr:row>
      <xdr:rowOff>146050</xdr:rowOff>
    </xdr:from>
    <xdr:to>
      <xdr:col>14</xdr:col>
      <xdr:colOff>571500</xdr:colOff>
      <xdr:row>34</xdr:row>
      <xdr:rowOff>92075</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D99CB509-0CFE-4C3C-C3A8-08C75BD880C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595100" y="38290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425450</xdr:colOff>
      <xdr:row>20</xdr:row>
      <xdr:rowOff>139700</xdr:rowOff>
    </xdr:from>
    <xdr:to>
      <xdr:col>11</xdr:col>
      <xdr:colOff>444500</xdr:colOff>
      <xdr:row>34</xdr:row>
      <xdr:rowOff>85725</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01A668D0-5D47-40BF-F2D6-503A87A4319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499600" y="38227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97.440788310189" createdVersion="8" refreshedVersion="8" minRefreshableVersion="3" recordCount="100" xr:uid="{4F2B7A77-1353-4757-A6B7-D0B142EC3E13}">
  <cacheSource type="worksheet">
    <worksheetSource ref="A1:L101" sheet="Sheet1"/>
  </cacheSource>
  <cacheFields count="12">
    <cacheField name="Order ID" numFmtId="0">
      <sharedItems count="100">
        <s v="ORD-1000"/>
        <s v="ORD-1001"/>
        <s v="ORD-1002"/>
        <s v="ORD-1003"/>
        <s v="ORD-1004"/>
        <s v="ORD-1005"/>
        <s v="ORD-1006"/>
        <s v="ORD-1007"/>
        <s v="ORD-1008"/>
        <s v="ORD-1009"/>
        <s v="ORD-1010"/>
        <s v="ORD-1011"/>
        <s v="ORD-1012"/>
        <s v="ORD-1013"/>
        <s v="ORD-1014"/>
        <s v="ORD-1015"/>
        <s v="ORD-1016"/>
        <s v="ORD-1017"/>
        <s v="ORD-1018"/>
        <s v="ORD-1019"/>
        <s v="ORD-1020"/>
        <s v="ORD-1021"/>
        <s v="ORD-1022"/>
        <s v="ORD-1023"/>
        <s v="ORD-1024"/>
        <s v="ORD-1025"/>
        <s v="ORD-1026"/>
        <s v="ORD-1027"/>
        <s v="ORD-1028"/>
        <s v="ORD-1029"/>
        <s v="ORD-1030"/>
        <s v="ORD-1031"/>
        <s v="ORD-1032"/>
        <s v="ORD-1033"/>
        <s v="ORD-1034"/>
        <s v="ORD-1035"/>
        <s v="ORD-1036"/>
        <s v="ORD-1037"/>
        <s v="ORD-1038"/>
        <s v="ORD-1039"/>
        <s v="ORD-1040"/>
        <s v="ORD-1041"/>
        <s v="ORD-1042"/>
        <s v="ORD-1043"/>
        <s v="ORD-1044"/>
        <s v="ORD-1045"/>
        <s v="ORD-1046"/>
        <s v="ORD-1047"/>
        <s v="ORD-1048"/>
        <s v="ORD-1049"/>
        <s v="ORD-1050"/>
        <s v="ORD-1051"/>
        <s v="ORD-1052"/>
        <s v="ORD-1053"/>
        <s v="ORD-1054"/>
        <s v="ORD-1055"/>
        <s v="ORD-1056"/>
        <s v="ORD-1057"/>
        <s v="ORD-1058"/>
        <s v="ORD-1059"/>
        <s v="ORD-1060"/>
        <s v="ORD-1061"/>
        <s v="ORD-1062"/>
        <s v="ORD-1063"/>
        <s v="ORD-1064"/>
        <s v="ORD-1065"/>
        <s v="ORD-1066"/>
        <s v="ORD-1067"/>
        <s v="ORD-1068"/>
        <s v="ORD-1069"/>
        <s v="ORD-1070"/>
        <s v="ORD-1071"/>
        <s v="ORD-1072"/>
        <s v="ORD-1073"/>
        <s v="ORD-1074"/>
        <s v="ORD-1075"/>
        <s v="ORD-1076"/>
        <s v="ORD-1077"/>
        <s v="ORD-1078"/>
        <s v="ORD-1079"/>
        <s v="ORD-1080"/>
        <s v="ORD-1081"/>
        <s v="ORD-1082"/>
        <s v="ORD-1083"/>
        <s v="ORD-1084"/>
        <s v="ORD-1085"/>
        <s v="ORD-1086"/>
        <s v="ORD-1087"/>
        <s v="ORD-1088"/>
        <s v="ORD-1089"/>
        <s v="ORD-1090"/>
        <s v="ORD-1091"/>
        <s v="ORD-1092"/>
        <s v="ORD-1093"/>
        <s v="ORD-1094"/>
        <s v="ORD-1095"/>
        <s v="ORD-1096"/>
        <s v="ORD-1097"/>
        <s v="ORD-1098"/>
        <s v="ORD-1099"/>
      </sharedItems>
    </cacheField>
    <cacheField name="Order Date" numFmtId="14">
      <sharedItems containsSemiMixedTypes="0" containsNonDate="0" containsDate="1" containsString="0" minDate="2023-01-02T00:00:00" maxDate="2023-12-31T00:00:00"/>
    </cacheField>
    <cacheField name="Customer Name" numFmtId="0">
      <sharedItems count="10">
        <s v="Karan"/>
        <s v="Vikram"/>
        <s v="Simran"/>
        <s v="Sneha"/>
        <s v="Priya"/>
        <s v="Raj"/>
        <s v="Amit"/>
        <s v="Pooja"/>
        <s v="Neha"/>
        <s v="Ravi"/>
      </sharedItems>
    </cacheField>
    <cacheField name="Region" numFmtId="0">
      <sharedItems count="4">
        <s v="South"/>
        <s v="East"/>
        <s v="West"/>
        <s v="North"/>
      </sharedItems>
    </cacheField>
    <cacheField name="Category" numFmtId="0">
      <sharedItems/>
    </cacheField>
    <cacheField name="Sub-Category" numFmtId="0">
      <sharedItems/>
    </cacheField>
    <cacheField name="Quantity" numFmtId="0">
      <sharedItems containsSemiMixedTypes="0" containsString="0" containsNumber="1" containsInteger="1" minValue="1" maxValue="9"/>
    </cacheField>
    <cacheField name="Unit Price" numFmtId="0">
      <sharedItems containsSemiMixedTypes="0" containsString="0" containsNumber="1" minValue="105.15" maxValue="1975.82"/>
    </cacheField>
    <cacheField name="Discount" numFmtId="0">
      <sharedItems containsSemiMixedTypes="0" containsString="0" containsNumber="1" minValue="0" maxValue="0.2"/>
    </cacheField>
    <cacheField name="Total Sales" numFmtId="0">
      <sharedItems containsSemiMixedTypes="0" containsString="0" containsNumber="1" minValue="233.71" maxValue="13708.81"/>
    </cacheField>
    <cacheField name="Profit" numFmtId="0">
      <sharedItems containsSemiMixedTypes="0" containsString="0" containsNumber="1" minValue="24.69" maxValue="2889.4"/>
    </cacheField>
    <cacheField name="Payment Mode"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97.461109837961" createdVersion="8" refreshedVersion="8" minRefreshableVersion="3" recordCount="100" xr:uid="{3D2E2B81-E3AF-4462-A0A6-009080CF1268}">
  <cacheSource type="worksheet">
    <worksheetSource ref="A1:M101" sheet="Sheet1"/>
  </cacheSource>
  <cacheFields count="16">
    <cacheField name="Order ID" numFmtId="0">
      <sharedItems/>
    </cacheField>
    <cacheField name="Order Date" numFmtId="14">
      <sharedItems containsSemiMixedTypes="0" containsNonDate="0" containsDate="1" containsString="0" minDate="2023-01-02T00:00:00" maxDate="2023-12-31T00:00:00" count="87">
        <d v="2023-04-13T00:00:00"/>
        <d v="2023-12-15T00:00:00"/>
        <d v="2023-09-28T00:00:00"/>
        <d v="2023-04-17T00:00:00"/>
        <d v="2023-03-13T00:00:00"/>
        <d v="2023-07-08T00:00:00"/>
        <d v="2023-01-21T00:00:00"/>
        <d v="2023-05-02T00:00:00"/>
        <d v="2023-08-03T00:00:00"/>
        <d v="2023-11-27T00:00:00"/>
        <d v="2023-03-29T00:00:00"/>
        <d v="2023-04-10T00:00:00"/>
        <d v="2023-12-26T00:00:00"/>
        <d v="2023-06-01T00:00:00"/>
        <d v="2023-05-11T00:00:00"/>
        <d v="2023-05-30T00:00:00"/>
        <d v="2023-11-05T00:00:00"/>
        <d v="2023-09-15T00:00:00"/>
        <d v="2023-12-10T00:00:00"/>
        <d v="2023-10-21T00:00:00"/>
        <d v="2023-07-11T00:00:00"/>
        <d v="2023-10-04T00:00:00"/>
        <d v="2023-06-10T00:00:00"/>
        <d v="2023-11-10T00:00:00"/>
        <d v="2023-01-22T00:00:00"/>
        <d v="2023-09-10T00:00:00"/>
        <d v="2023-08-24T00:00:00"/>
        <d v="2023-12-11T00:00:00"/>
        <d v="2023-02-18T00:00:00"/>
        <d v="2023-02-28T00:00:00"/>
        <d v="2023-06-19T00:00:00"/>
        <d v="2023-07-07T00:00:00"/>
        <d v="2023-07-09T00:00:00"/>
        <d v="2023-06-24T00:00:00"/>
        <d v="2023-02-20T00:00:00"/>
        <d v="2023-12-30T00:00:00"/>
        <d v="2023-02-24T00:00:00"/>
        <d v="2023-09-01T00:00:00"/>
        <d v="2023-11-16T00:00:00"/>
        <d v="2023-11-03T00:00:00"/>
        <d v="2023-05-15T00:00:00"/>
        <d v="2023-11-25T00:00:00"/>
        <d v="2023-06-16T00:00:00"/>
        <d v="2023-10-01T00:00:00"/>
        <d v="2023-03-30T00:00:00"/>
        <d v="2023-11-12T00:00:00"/>
        <d v="2023-01-14T00:00:00"/>
        <d v="2023-08-30T00:00:00"/>
        <d v="2023-09-22T00:00:00"/>
        <d v="2023-12-12T00:00:00"/>
        <d v="2023-02-22T00:00:00"/>
        <d v="2023-12-06T00:00:00"/>
        <d v="2023-04-02T00:00:00"/>
        <d v="2023-09-21T00:00:00"/>
        <d v="2023-02-04T00:00:00"/>
        <d v="2023-07-25T00:00:00"/>
        <d v="2023-03-22T00:00:00"/>
        <d v="2023-02-19T00:00:00"/>
        <d v="2023-01-02T00:00:00"/>
        <d v="2023-02-23T00:00:00"/>
        <d v="2023-04-16T00:00:00"/>
        <d v="2023-09-17T00:00:00"/>
        <d v="2023-11-06T00:00:00"/>
        <d v="2023-07-10T00:00:00"/>
        <d v="2023-08-06T00:00:00"/>
        <d v="2023-02-13T00:00:00"/>
        <d v="2023-06-11T00:00:00"/>
        <d v="2023-07-21T00:00:00"/>
        <d v="2023-09-27T00:00:00"/>
        <d v="2023-12-17T00:00:00"/>
        <d v="2023-10-31T00:00:00"/>
        <d v="2023-09-09T00:00:00"/>
        <d v="2023-10-23T00:00:00"/>
        <d v="2023-08-01T00:00:00"/>
        <d v="2023-07-27T00:00:00"/>
        <d v="2023-08-25T00:00:00"/>
        <d v="2023-12-04T00:00:00"/>
        <d v="2023-10-07T00:00:00"/>
        <d v="2023-08-05T00:00:00"/>
        <d v="2023-02-10T00:00:00"/>
        <d v="2023-06-06T00:00:00"/>
        <d v="2023-01-15T00:00:00"/>
        <d v="2023-10-28T00:00:00"/>
        <d v="2023-03-06T00:00:00"/>
        <d v="2023-11-23T00:00:00"/>
        <d v="2023-01-09T00:00:00"/>
        <d v="2023-05-09T00:00:00"/>
      </sharedItems>
      <fieldGroup par="14"/>
    </cacheField>
    <cacheField name="Customer Name" numFmtId="0">
      <sharedItems count="10">
        <s v="Karan"/>
        <s v="Vikram"/>
        <s v="Simran"/>
        <s v="Sneha"/>
        <s v="Priya"/>
        <s v="Raj"/>
        <s v="Amit"/>
        <s v="Pooja"/>
        <s v="Neha"/>
        <s v="Ravi"/>
      </sharedItems>
    </cacheField>
    <cacheField name="Region" numFmtId="0">
      <sharedItems count="4">
        <s v="South"/>
        <s v="East"/>
        <s v="West"/>
        <s v="North"/>
      </sharedItems>
    </cacheField>
    <cacheField name="Category" numFmtId="0">
      <sharedItems count="3">
        <s v="Office Supplies"/>
        <s v="Technology"/>
        <s v="Furniture"/>
      </sharedItems>
    </cacheField>
    <cacheField name="Sub-Category" numFmtId="0">
      <sharedItems/>
    </cacheField>
    <cacheField name="Quantity" numFmtId="0">
      <sharedItems containsSemiMixedTypes="0" containsString="0" containsNumber="1" containsInteger="1" minValue="1" maxValue="9"/>
    </cacheField>
    <cacheField name="Unit Price" numFmtId="0">
      <sharedItems containsSemiMixedTypes="0" containsString="0" containsNumber="1" minValue="105.15" maxValue="1975.82"/>
    </cacheField>
    <cacheField name="Discount" numFmtId="0">
      <sharedItems containsSemiMixedTypes="0" containsString="0" containsNumber="1" minValue="0" maxValue="0.2"/>
    </cacheField>
    <cacheField name="Total Sales" numFmtId="0">
      <sharedItems containsSemiMixedTypes="0" containsString="0" containsNumber="1" minValue="233.71" maxValue="13708.81"/>
    </cacheField>
    <cacheField name="Profit" numFmtId="0">
      <sharedItems containsSemiMixedTypes="0" containsString="0" containsNumber="1" minValue="24.69" maxValue="2889.4"/>
    </cacheField>
    <cacheField name="Payment Mode" numFmtId="0">
      <sharedItems/>
    </cacheField>
    <cacheField name="Total Sell 1" numFmtId="0">
      <sharedItems containsSemiMixedTypes="0" containsString="0" containsNumber="1" minValue="292.13" maxValue="16128"/>
    </cacheField>
    <cacheField name="Days (Order Date)" numFmtId="0" databaseField="0">
      <fieldGroup base="1">
        <rangePr groupBy="days" startDate="2023-01-02T00:00:00" endDate="2023-12-31T00:00:00"/>
        <groupItems count="368">
          <s v="&lt;02-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12-2023"/>
        </groupItems>
      </fieldGroup>
    </cacheField>
    <cacheField name="Months (Order Date)" numFmtId="0" databaseField="0">
      <fieldGroup base="1">
        <rangePr groupBy="months" startDate="2023-01-02T00:00:00" endDate="2023-12-31T00:00:00"/>
        <groupItems count="14">
          <s v="&lt;02-01-2023"/>
          <s v="Jan"/>
          <s v="Feb"/>
          <s v="Mar"/>
          <s v="Apr"/>
          <s v="May"/>
          <s v="Jun"/>
          <s v="Jul"/>
          <s v="Aug"/>
          <s v="Sep"/>
          <s v="Oct"/>
          <s v="Nov"/>
          <s v="Dec"/>
          <s v="&gt;31-12-2023"/>
        </groupItems>
      </fieldGroup>
    </cacheField>
    <cacheField name="Field1" numFmtId="0" formula="'Total Sales' *10%" databaseField="0"/>
  </cacheFields>
  <extLst>
    <ext xmlns:x14="http://schemas.microsoft.com/office/spreadsheetml/2009/9/main" uri="{725AE2AE-9491-48be-B2B4-4EB974FC3084}">
      <x14:pivotCacheDefinition pivotCacheId="11579672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d v="2023-04-13T00:00:00"/>
    <x v="0"/>
    <x v="0"/>
    <s v="Office Supplies"/>
    <s v="Pens"/>
    <n v="3"/>
    <n v="1443.03"/>
    <n v="0.1"/>
    <n v="3896.18"/>
    <n v="964.48"/>
    <s v="UPI"/>
  </r>
  <r>
    <x v="1"/>
    <d v="2023-12-15T00:00:00"/>
    <x v="1"/>
    <x v="1"/>
    <s v="Technology"/>
    <s v="Laptops"/>
    <n v="7"/>
    <n v="1715.07"/>
    <n v="0.15"/>
    <n v="10204.69"/>
    <n v="1354.41"/>
    <s v="Cash"/>
  </r>
  <r>
    <x v="2"/>
    <d v="2023-09-28T00:00:00"/>
    <x v="0"/>
    <x v="1"/>
    <s v="Furniture"/>
    <s v="Bookcases"/>
    <n v="8"/>
    <n v="621.97"/>
    <n v="0.1"/>
    <n v="4478.1899999999996"/>
    <n v="752.58"/>
    <s v="Cash"/>
  </r>
  <r>
    <x v="3"/>
    <d v="2023-04-17T00:00:00"/>
    <x v="2"/>
    <x v="0"/>
    <s v="Office Supplies"/>
    <s v="Paper"/>
    <n v="5"/>
    <n v="1166.43"/>
    <n v="0.1"/>
    <n v="5248.92"/>
    <n v="948.39"/>
    <s v="Net Banking"/>
  </r>
  <r>
    <x v="4"/>
    <d v="2023-03-13T00:00:00"/>
    <x v="0"/>
    <x v="1"/>
    <s v="Furniture"/>
    <s v="Bookcases"/>
    <n v="7"/>
    <n v="1003.2"/>
    <n v="0.2"/>
    <n v="5617.94"/>
    <n v="995.18"/>
    <s v="UPI"/>
  </r>
  <r>
    <x v="5"/>
    <d v="2023-07-08T00:00:00"/>
    <x v="3"/>
    <x v="0"/>
    <s v="Furniture"/>
    <s v="Bookcases"/>
    <n v="4"/>
    <n v="1891.42"/>
    <n v="0.1"/>
    <n v="6809.12"/>
    <n v="1523.17"/>
    <s v="Credit Card"/>
  </r>
  <r>
    <x v="6"/>
    <d v="2023-01-21T00:00:00"/>
    <x v="4"/>
    <x v="0"/>
    <s v="Technology"/>
    <s v="Laptops"/>
    <n v="5"/>
    <n v="1755.78"/>
    <n v="0.15"/>
    <n v="7462.04"/>
    <n v="780.61"/>
    <s v="Cash"/>
  </r>
  <r>
    <x v="7"/>
    <d v="2023-04-13T00:00:00"/>
    <x v="5"/>
    <x v="2"/>
    <s v="Office Supplies"/>
    <s v="Binders"/>
    <n v="7"/>
    <n v="1802.57"/>
    <n v="0"/>
    <n v="12618.01"/>
    <n v="1489.34"/>
    <s v="Credit Card"/>
  </r>
  <r>
    <x v="8"/>
    <d v="2023-05-02T00:00:00"/>
    <x v="0"/>
    <x v="3"/>
    <s v="Furniture"/>
    <s v="Bookcases"/>
    <n v="7"/>
    <n v="412.85"/>
    <n v="0.1"/>
    <n v="2600.9299999999998"/>
    <n v="401.46"/>
    <s v="UPI"/>
  </r>
  <r>
    <x v="9"/>
    <d v="2023-08-03T00:00:00"/>
    <x v="6"/>
    <x v="0"/>
    <s v="Technology"/>
    <s v="Printers"/>
    <n v="6"/>
    <n v="515.65"/>
    <n v="0"/>
    <n v="3093.91"/>
    <n v="467.05"/>
    <s v="Net Banking"/>
  </r>
  <r>
    <x v="10"/>
    <d v="2023-11-27T00:00:00"/>
    <x v="6"/>
    <x v="1"/>
    <s v="Technology"/>
    <s v="Printers"/>
    <n v="2"/>
    <n v="1453.31"/>
    <n v="0.2"/>
    <n v="2325.3000000000002"/>
    <n v="281.85000000000002"/>
    <s v="Credit Card"/>
  </r>
  <r>
    <x v="11"/>
    <d v="2023-03-29T00:00:00"/>
    <x v="3"/>
    <x v="3"/>
    <s v="Technology"/>
    <s v="Mobiles"/>
    <n v="6"/>
    <n v="162.80000000000001"/>
    <n v="0"/>
    <n v="976.78"/>
    <n v="203.74"/>
    <s v="Net Banking"/>
  </r>
  <r>
    <x v="12"/>
    <d v="2023-04-10T00:00:00"/>
    <x v="6"/>
    <x v="1"/>
    <s v="Technology"/>
    <s v="Mobiles"/>
    <n v="7"/>
    <n v="1377.06"/>
    <n v="0.1"/>
    <n v="8675.4599999999991"/>
    <n v="1235.5"/>
    <s v="Cash"/>
  </r>
  <r>
    <x v="13"/>
    <d v="2023-12-26T00:00:00"/>
    <x v="7"/>
    <x v="2"/>
    <s v="Furniture"/>
    <s v="Tables"/>
    <n v="6"/>
    <n v="857.77"/>
    <n v="0"/>
    <n v="5146.6000000000004"/>
    <n v="451.25"/>
    <s v="Credit Card"/>
  </r>
  <r>
    <x v="14"/>
    <d v="2023-06-01T00:00:00"/>
    <x v="4"/>
    <x v="2"/>
    <s v="Office Supplies"/>
    <s v="Pens"/>
    <n v="4"/>
    <n v="131.52000000000001"/>
    <n v="0.1"/>
    <n v="473.46"/>
    <n v="119.49"/>
    <s v="UPI"/>
  </r>
  <r>
    <x v="15"/>
    <d v="2023-05-11T00:00:00"/>
    <x v="5"/>
    <x v="3"/>
    <s v="Furniture"/>
    <s v="Chairs"/>
    <n v="8"/>
    <n v="834.8"/>
    <n v="0.05"/>
    <n v="6344.46"/>
    <n v="1645.93"/>
    <s v="Cash"/>
  </r>
  <r>
    <x v="16"/>
    <d v="2023-05-30T00:00:00"/>
    <x v="4"/>
    <x v="2"/>
    <s v="Office Supplies"/>
    <s v="Pens"/>
    <n v="3"/>
    <n v="534.25"/>
    <n v="0.05"/>
    <n v="1522.6"/>
    <n v="449.99"/>
    <s v="Credit Card"/>
  </r>
  <r>
    <x v="17"/>
    <d v="2023-11-05T00:00:00"/>
    <x v="5"/>
    <x v="1"/>
    <s v="Technology"/>
    <s v="Laptops"/>
    <n v="5"/>
    <n v="1810.79"/>
    <n v="0.1"/>
    <n v="8148.57"/>
    <n v="791.85"/>
    <s v="UPI"/>
  </r>
  <r>
    <x v="18"/>
    <d v="2023-09-15T00:00:00"/>
    <x v="8"/>
    <x v="2"/>
    <s v="Office Supplies"/>
    <s v="Binders"/>
    <n v="8"/>
    <n v="1786.76"/>
    <n v="0.15"/>
    <n v="12149.99"/>
    <n v="863.07"/>
    <s v="Cash"/>
  </r>
  <r>
    <x v="19"/>
    <d v="2023-12-10T00:00:00"/>
    <x v="3"/>
    <x v="0"/>
    <s v="Technology"/>
    <s v="Printers"/>
    <n v="9"/>
    <n v="1360.65"/>
    <n v="0.2"/>
    <n v="9796.7000000000007"/>
    <n v="1185.21"/>
    <s v="Cash"/>
  </r>
  <r>
    <x v="20"/>
    <d v="2023-10-21T00:00:00"/>
    <x v="0"/>
    <x v="2"/>
    <s v="Office Supplies"/>
    <s v="Paper"/>
    <n v="9"/>
    <n v="434.26"/>
    <n v="0.15"/>
    <n v="3322.07"/>
    <n v="363.14"/>
    <s v="Net Banking"/>
  </r>
  <r>
    <x v="21"/>
    <d v="2023-07-11T00:00:00"/>
    <x v="7"/>
    <x v="1"/>
    <s v="Office Supplies"/>
    <s v="Pens"/>
    <n v="1"/>
    <n v="685.32"/>
    <n v="0.15"/>
    <n v="582.52"/>
    <n v="103.22"/>
    <s v="Cash"/>
  </r>
  <r>
    <x v="22"/>
    <d v="2023-10-04T00:00:00"/>
    <x v="3"/>
    <x v="3"/>
    <s v="Technology"/>
    <s v="Mobiles"/>
    <n v="6"/>
    <n v="1959.9"/>
    <n v="0.1"/>
    <n v="10583.44"/>
    <n v="2889.4"/>
    <s v="Cash"/>
  </r>
  <r>
    <x v="23"/>
    <d v="2023-06-10T00:00:00"/>
    <x v="4"/>
    <x v="1"/>
    <s v="Furniture"/>
    <s v="Bookcases"/>
    <n v="1"/>
    <n v="470.96"/>
    <n v="0.2"/>
    <n v="376.77"/>
    <n v="65.86"/>
    <s v="Net Banking"/>
  </r>
  <r>
    <x v="24"/>
    <d v="2023-11-10T00:00:00"/>
    <x v="8"/>
    <x v="3"/>
    <s v="Furniture"/>
    <s v="Chairs"/>
    <n v="5"/>
    <n v="1778.64"/>
    <n v="0.15"/>
    <n v="7559.21"/>
    <n v="407.17"/>
    <s v="Credit Card"/>
  </r>
  <r>
    <x v="25"/>
    <d v="2023-01-22T00:00:00"/>
    <x v="0"/>
    <x v="2"/>
    <s v="Technology"/>
    <s v="Laptops"/>
    <n v="3"/>
    <n v="1962.63"/>
    <n v="0.15"/>
    <n v="5004.71"/>
    <n v="618.64"/>
    <s v="UPI"/>
  </r>
  <r>
    <x v="26"/>
    <d v="2023-09-10T00:00:00"/>
    <x v="8"/>
    <x v="0"/>
    <s v="Furniture"/>
    <s v="Bookcases"/>
    <n v="2"/>
    <n v="1157.92"/>
    <n v="0.05"/>
    <n v="2200.0500000000002"/>
    <n v="621.52"/>
    <s v="Net Banking"/>
  </r>
  <r>
    <x v="27"/>
    <d v="2023-08-24T00:00:00"/>
    <x v="2"/>
    <x v="3"/>
    <s v="Office Supplies"/>
    <s v="Binders"/>
    <n v="7"/>
    <n v="366.16"/>
    <n v="0.1"/>
    <n v="2306.81"/>
    <n v="285.63"/>
    <s v="Net Banking"/>
  </r>
  <r>
    <x v="28"/>
    <d v="2023-12-11T00:00:00"/>
    <x v="2"/>
    <x v="1"/>
    <s v="Furniture"/>
    <s v="Chairs"/>
    <n v="6"/>
    <n v="783.03"/>
    <n v="0.2"/>
    <n v="3758.56"/>
    <n v="466.54"/>
    <s v="Cash"/>
  </r>
  <r>
    <x v="29"/>
    <d v="2023-02-18T00:00:00"/>
    <x v="8"/>
    <x v="2"/>
    <s v="Furniture"/>
    <s v="Chairs"/>
    <n v="7"/>
    <n v="1052.8800000000001"/>
    <n v="0.2"/>
    <n v="5896.13"/>
    <n v="581.16999999999996"/>
    <s v="Cash"/>
  </r>
  <r>
    <x v="30"/>
    <d v="2023-02-28T00:00:00"/>
    <x v="1"/>
    <x v="1"/>
    <s v="Technology"/>
    <s v="Printers"/>
    <n v="7"/>
    <n v="152.47"/>
    <n v="0.05"/>
    <n v="1013.94"/>
    <n v="74.52"/>
    <s v="Cash"/>
  </r>
  <r>
    <x v="31"/>
    <d v="2023-06-19T00:00:00"/>
    <x v="7"/>
    <x v="1"/>
    <s v="Office Supplies"/>
    <s v="Paper"/>
    <n v="6"/>
    <n v="1222.58"/>
    <n v="0"/>
    <n v="7335.5"/>
    <n v="435.27"/>
    <s v="Cash"/>
  </r>
  <r>
    <x v="32"/>
    <d v="2023-07-07T00:00:00"/>
    <x v="0"/>
    <x v="1"/>
    <s v="Office Supplies"/>
    <s v="Paper"/>
    <n v="1"/>
    <n v="1672.95"/>
    <n v="0.15"/>
    <n v="1422.01"/>
    <n v="147.83000000000001"/>
    <s v="Net Banking"/>
  </r>
  <r>
    <x v="33"/>
    <d v="2023-09-28T00:00:00"/>
    <x v="4"/>
    <x v="2"/>
    <s v="Technology"/>
    <s v="Laptops"/>
    <n v="4"/>
    <n v="881.57"/>
    <n v="0.1"/>
    <n v="3173.66"/>
    <n v="664.43"/>
    <s v="Credit Card"/>
  </r>
  <r>
    <x v="34"/>
    <d v="2023-07-09T00:00:00"/>
    <x v="1"/>
    <x v="0"/>
    <s v="Technology"/>
    <s v="Mobiles"/>
    <n v="3"/>
    <n v="1610.85"/>
    <n v="0.1"/>
    <n v="4349.3100000000004"/>
    <n v="694.77"/>
    <s v="Credit Card"/>
  </r>
  <r>
    <x v="35"/>
    <d v="2023-06-24T00:00:00"/>
    <x v="2"/>
    <x v="0"/>
    <s v="Technology"/>
    <s v="Laptops"/>
    <n v="7"/>
    <n v="913.8"/>
    <n v="0.15"/>
    <n v="5437.1"/>
    <n v="827.73"/>
    <s v="Credit Card"/>
  </r>
  <r>
    <x v="36"/>
    <d v="2023-02-20T00:00:00"/>
    <x v="1"/>
    <x v="2"/>
    <s v="Office Supplies"/>
    <s v="Binders"/>
    <n v="6"/>
    <n v="1457.73"/>
    <n v="0.2"/>
    <n v="6997.11"/>
    <n v="839.54"/>
    <s v="UPI"/>
  </r>
  <r>
    <x v="37"/>
    <d v="2023-12-30T00:00:00"/>
    <x v="0"/>
    <x v="0"/>
    <s v="Furniture"/>
    <s v="Tables"/>
    <n v="7"/>
    <n v="190.66"/>
    <n v="0.05"/>
    <n v="1267.8900000000001"/>
    <n v="176.23"/>
    <s v="Credit Card"/>
  </r>
  <r>
    <x v="38"/>
    <d v="2023-02-24T00:00:00"/>
    <x v="2"/>
    <x v="0"/>
    <s v="Furniture"/>
    <s v="Tables"/>
    <n v="5"/>
    <n v="278.89999999999998"/>
    <n v="0.15"/>
    <n v="1185.32"/>
    <n v="111.22"/>
    <s v="Net Banking"/>
  </r>
  <r>
    <x v="39"/>
    <d v="2023-09-01T00:00:00"/>
    <x v="2"/>
    <x v="0"/>
    <s v="Furniture"/>
    <s v="Bookcases"/>
    <n v="4"/>
    <n v="429.08"/>
    <n v="0.2"/>
    <n v="1373.07"/>
    <n v="205.45"/>
    <s v="Credit Card"/>
  </r>
  <r>
    <x v="40"/>
    <d v="2023-11-16T00:00:00"/>
    <x v="4"/>
    <x v="2"/>
    <s v="Technology"/>
    <s v="Printers"/>
    <n v="3"/>
    <n v="1055.96"/>
    <n v="0"/>
    <n v="3167.88"/>
    <n v="585.55999999999995"/>
    <s v="Net Banking"/>
  </r>
  <r>
    <x v="41"/>
    <d v="2023-05-11T00:00:00"/>
    <x v="3"/>
    <x v="1"/>
    <s v="Office Supplies"/>
    <s v="Binders"/>
    <n v="1"/>
    <n v="1747.68"/>
    <n v="0.1"/>
    <n v="1572.91"/>
    <n v="393.6"/>
    <s v="Net Banking"/>
  </r>
  <r>
    <x v="42"/>
    <d v="2023-11-03T00:00:00"/>
    <x v="6"/>
    <x v="2"/>
    <s v="Furniture"/>
    <s v="Chairs"/>
    <n v="3"/>
    <n v="1659.22"/>
    <n v="0.15"/>
    <n v="4231"/>
    <n v="619.95000000000005"/>
    <s v="Cash"/>
  </r>
  <r>
    <x v="43"/>
    <d v="2023-05-15T00:00:00"/>
    <x v="6"/>
    <x v="0"/>
    <s v="Office Supplies"/>
    <s v="Paper"/>
    <n v="2"/>
    <n v="174.03"/>
    <n v="0.05"/>
    <n v="330.66"/>
    <n v="72.989999999999995"/>
    <s v="Net Banking"/>
  </r>
  <r>
    <x v="44"/>
    <d v="2023-01-21T00:00:00"/>
    <x v="3"/>
    <x v="3"/>
    <s v="Furniture"/>
    <s v="Tables"/>
    <n v="2"/>
    <n v="595.32000000000005"/>
    <n v="0.15"/>
    <n v="1012.04"/>
    <n v="225.91"/>
    <s v="UPI"/>
  </r>
  <r>
    <x v="45"/>
    <d v="2023-11-25T00:00:00"/>
    <x v="5"/>
    <x v="2"/>
    <s v="Furniture"/>
    <s v="Chairs"/>
    <n v="5"/>
    <n v="1938.4"/>
    <n v="0.15"/>
    <n v="8238.2099999999991"/>
    <n v="777.36"/>
    <s v="Net Banking"/>
  </r>
  <r>
    <x v="46"/>
    <d v="2023-06-16T00:00:00"/>
    <x v="8"/>
    <x v="1"/>
    <s v="Office Supplies"/>
    <s v="Paper"/>
    <n v="3"/>
    <n v="883.97"/>
    <n v="0.05"/>
    <n v="2519.3200000000002"/>
    <n v="283.43"/>
    <s v="Cash"/>
  </r>
  <r>
    <x v="47"/>
    <d v="2023-10-01T00:00:00"/>
    <x v="6"/>
    <x v="3"/>
    <s v="Furniture"/>
    <s v="Chairs"/>
    <n v="7"/>
    <n v="1526.66"/>
    <n v="0"/>
    <n v="10686.59"/>
    <n v="1170.81"/>
    <s v="Cash"/>
  </r>
  <r>
    <x v="48"/>
    <d v="2023-03-30T00:00:00"/>
    <x v="9"/>
    <x v="2"/>
    <s v="Furniture"/>
    <s v="Tables"/>
    <n v="3"/>
    <n v="839.48"/>
    <n v="0.15"/>
    <n v="2140.6799999999998"/>
    <n v="620.02"/>
    <s v="Credit Card"/>
  </r>
  <r>
    <x v="49"/>
    <d v="2023-11-12T00:00:00"/>
    <x v="5"/>
    <x v="2"/>
    <s v="Office Supplies"/>
    <s v="Binders"/>
    <n v="4"/>
    <n v="1189.53"/>
    <n v="0.2"/>
    <n v="3806.5"/>
    <n v="277.58999999999997"/>
    <s v="UPI"/>
  </r>
  <r>
    <x v="50"/>
    <d v="2023-01-14T00:00:00"/>
    <x v="2"/>
    <x v="1"/>
    <s v="Furniture"/>
    <s v="Chairs"/>
    <n v="7"/>
    <n v="1584.46"/>
    <n v="0.2"/>
    <n v="8872.99"/>
    <n v="2508.6799999999998"/>
    <s v="Cash"/>
  </r>
  <r>
    <x v="51"/>
    <d v="2023-08-30T00:00:00"/>
    <x v="3"/>
    <x v="1"/>
    <s v="Office Supplies"/>
    <s v="Binders"/>
    <n v="5"/>
    <n v="1500.37"/>
    <n v="0.2"/>
    <n v="6001.47"/>
    <n v="826.58"/>
    <s v="Net Banking"/>
  </r>
  <r>
    <x v="52"/>
    <d v="2023-09-22T00:00:00"/>
    <x v="5"/>
    <x v="0"/>
    <s v="Furniture"/>
    <s v="Tables"/>
    <n v="1"/>
    <n v="292.13"/>
    <n v="0.2"/>
    <n v="233.71"/>
    <n v="24.69"/>
    <s v="UPI"/>
  </r>
  <r>
    <x v="53"/>
    <d v="2023-12-12T00:00:00"/>
    <x v="6"/>
    <x v="0"/>
    <s v="Technology"/>
    <s v="Mobiles"/>
    <n v="5"/>
    <n v="1075.32"/>
    <n v="0.1"/>
    <n v="4838.9399999999996"/>
    <n v="945.17"/>
    <s v="Net Banking"/>
  </r>
  <r>
    <x v="54"/>
    <d v="2023-02-22T00:00:00"/>
    <x v="9"/>
    <x v="3"/>
    <s v="Furniture"/>
    <s v="Bookcases"/>
    <n v="7"/>
    <n v="1973.4"/>
    <n v="0.15"/>
    <n v="11741.74"/>
    <n v="1615.13"/>
    <s v="Net Banking"/>
  </r>
  <r>
    <x v="55"/>
    <d v="2023-12-06T00:00:00"/>
    <x v="3"/>
    <x v="2"/>
    <s v="Technology"/>
    <s v="Printers"/>
    <n v="3"/>
    <n v="311.27999999999997"/>
    <n v="0.1"/>
    <n v="840.44"/>
    <n v="95.32"/>
    <s v="Cash"/>
  </r>
  <r>
    <x v="56"/>
    <d v="2023-04-02T00:00:00"/>
    <x v="5"/>
    <x v="1"/>
    <s v="Technology"/>
    <s v="Laptops"/>
    <n v="9"/>
    <n v="1514"/>
    <n v="0.1"/>
    <n v="12263.42"/>
    <n v="2401.69"/>
    <s v="Net Banking"/>
  </r>
  <r>
    <x v="57"/>
    <d v="2023-09-21T00:00:00"/>
    <x v="0"/>
    <x v="2"/>
    <s v="Furniture"/>
    <s v="Chairs"/>
    <n v="8"/>
    <n v="1103.9000000000001"/>
    <n v="0.2"/>
    <n v="7064.98"/>
    <n v="2054.54"/>
    <s v="Cash"/>
  </r>
  <r>
    <x v="58"/>
    <d v="2023-02-04T00:00:00"/>
    <x v="3"/>
    <x v="1"/>
    <s v="Furniture"/>
    <s v="Bookcases"/>
    <n v="5"/>
    <n v="580.67999999999995"/>
    <n v="0.1"/>
    <n v="2613.0700000000002"/>
    <n v="763.87"/>
    <s v="Credit Card"/>
  </r>
  <r>
    <x v="59"/>
    <d v="2023-07-25T00:00:00"/>
    <x v="5"/>
    <x v="1"/>
    <s v="Furniture"/>
    <s v="Tables"/>
    <n v="1"/>
    <n v="1292.3599999999999"/>
    <n v="0.1"/>
    <n v="1163.1199999999999"/>
    <n v="320.2"/>
    <s v="Net Banking"/>
  </r>
  <r>
    <x v="60"/>
    <d v="2023-03-22T00:00:00"/>
    <x v="2"/>
    <x v="2"/>
    <s v="Technology"/>
    <s v="Mobiles"/>
    <n v="8"/>
    <n v="1278.25"/>
    <n v="0.05"/>
    <n v="9714.7099999999991"/>
    <n v="942.62"/>
    <s v="Cash"/>
  </r>
  <r>
    <x v="61"/>
    <d v="2023-02-19T00:00:00"/>
    <x v="6"/>
    <x v="3"/>
    <s v="Technology"/>
    <s v="Laptops"/>
    <n v="9"/>
    <n v="593.9"/>
    <n v="0.1"/>
    <n v="4810.63"/>
    <n v="1080.18"/>
    <s v="Credit Card"/>
  </r>
  <r>
    <x v="62"/>
    <d v="2023-12-26T00:00:00"/>
    <x v="0"/>
    <x v="1"/>
    <s v="Furniture"/>
    <s v="Chairs"/>
    <n v="3"/>
    <n v="1662.82"/>
    <n v="0.05"/>
    <n v="4739.04"/>
    <n v="730.57"/>
    <s v="Credit Card"/>
  </r>
  <r>
    <x v="63"/>
    <d v="2023-01-02T00:00:00"/>
    <x v="1"/>
    <x v="2"/>
    <s v="Technology"/>
    <s v="Mobiles"/>
    <n v="8"/>
    <n v="1765.66"/>
    <n v="0.1"/>
    <n v="12712.73"/>
    <n v="779.35"/>
    <s v="Credit Card"/>
  </r>
  <r>
    <x v="64"/>
    <d v="2023-02-23T00:00:00"/>
    <x v="2"/>
    <x v="1"/>
    <s v="Technology"/>
    <s v="Laptops"/>
    <n v="2"/>
    <n v="1975.82"/>
    <n v="0"/>
    <n v="3951.65"/>
    <n v="569.77"/>
    <s v="Credit Card"/>
  </r>
  <r>
    <x v="65"/>
    <d v="2023-04-16T00:00:00"/>
    <x v="6"/>
    <x v="3"/>
    <s v="Technology"/>
    <s v="Printers"/>
    <n v="1"/>
    <n v="1692.82"/>
    <n v="0.05"/>
    <n v="1608.18"/>
    <n v="95.21"/>
    <s v="Net Banking"/>
  </r>
  <r>
    <x v="66"/>
    <d v="2023-09-17T00:00:00"/>
    <x v="0"/>
    <x v="1"/>
    <s v="Office Supplies"/>
    <s v="Binders"/>
    <n v="1"/>
    <n v="1115.26"/>
    <n v="0.2"/>
    <n v="892.21"/>
    <n v="266.91000000000003"/>
    <s v="Credit Card"/>
  </r>
  <r>
    <x v="67"/>
    <d v="2023-11-06T00:00:00"/>
    <x v="9"/>
    <x v="3"/>
    <s v="Furniture"/>
    <s v="Chairs"/>
    <n v="3"/>
    <n v="569.96"/>
    <n v="0"/>
    <n v="1709.88"/>
    <n v="140.71"/>
    <s v="Credit Card"/>
  </r>
  <r>
    <x v="68"/>
    <d v="2023-07-10T00:00:00"/>
    <x v="8"/>
    <x v="1"/>
    <s v="Technology"/>
    <s v="Laptops"/>
    <n v="1"/>
    <n v="1538.3"/>
    <n v="0.05"/>
    <n v="1461.38"/>
    <n v="203.92"/>
    <s v="Cash"/>
  </r>
  <r>
    <x v="69"/>
    <d v="2023-08-06T00:00:00"/>
    <x v="6"/>
    <x v="0"/>
    <s v="Technology"/>
    <s v="Mobiles"/>
    <n v="6"/>
    <n v="1567.4"/>
    <n v="0.1"/>
    <n v="8463.99"/>
    <n v="1074.45"/>
    <s v="Net Banking"/>
  </r>
  <r>
    <x v="70"/>
    <d v="2023-02-13T00:00:00"/>
    <x v="3"/>
    <x v="1"/>
    <s v="Furniture"/>
    <s v="Tables"/>
    <n v="9"/>
    <n v="1220.92"/>
    <n v="0.2"/>
    <n v="8790.6"/>
    <n v="1802.75"/>
    <s v="UPI"/>
  </r>
  <r>
    <x v="71"/>
    <d v="2023-06-11T00:00:00"/>
    <x v="9"/>
    <x v="1"/>
    <s v="Office Supplies"/>
    <s v="Binders"/>
    <n v="2"/>
    <n v="766.12"/>
    <n v="0.05"/>
    <n v="1455.62"/>
    <n v="304.45999999999998"/>
    <s v="Cash"/>
  </r>
  <r>
    <x v="72"/>
    <d v="2023-07-21T00:00:00"/>
    <x v="2"/>
    <x v="1"/>
    <s v="Furniture"/>
    <s v="Tables"/>
    <n v="1"/>
    <n v="1588.94"/>
    <n v="0.15"/>
    <n v="1350.6"/>
    <n v="168.14"/>
    <s v="Credit Card"/>
  </r>
  <r>
    <x v="73"/>
    <d v="2023-09-27T00:00:00"/>
    <x v="4"/>
    <x v="2"/>
    <s v="Furniture"/>
    <s v="Chairs"/>
    <n v="4"/>
    <n v="972.76"/>
    <n v="0"/>
    <n v="3891.04"/>
    <n v="673.26"/>
    <s v="Credit Card"/>
  </r>
  <r>
    <x v="74"/>
    <d v="2023-12-17T00:00:00"/>
    <x v="9"/>
    <x v="1"/>
    <s v="Technology"/>
    <s v="Mobiles"/>
    <n v="5"/>
    <n v="760.09"/>
    <n v="0.1"/>
    <n v="3420.38"/>
    <n v="666.68"/>
    <s v="Credit Card"/>
  </r>
  <r>
    <x v="75"/>
    <d v="2023-10-31T00:00:00"/>
    <x v="8"/>
    <x v="3"/>
    <s v="Office Supplies"/>
    <s v="Pens"/>
    <n v="6"/>
    <n v="1425.57"/>
    <n v="0.15"/>
    <n v="7270.4"/>
    <n v="694.11"/>
    <s v="UPI"/>
  </r>
  <r>
    <x v="76"/>
    <d v="2023-09-28T00:00:00"/>
    <x v="0"/>
    <x v="0"/>
    <s v="Office Supplies"/>
    <s v="Pens"/>
    <n v="2"/>
    <n v="1243.68"/>
    <n v="0.1"/>
    <n v="2238.62"/>
    <n v="134.80000000000001"/>
    <s v="Net Banking"/>
  </r>
  <r>
    <x v="77"/>
    <d v="2023-08-03T00:00:00"/>
    <x v="2"/>
    <x v="0"/>
    <s v="Technology"/>
    <s v="Laptops"/>
    <n v="6"/>
    <n v="268.52999999999997"/>
    <n v="0"/>
    <n v="1611.21"/>
    <n v="295.83"/>
    <s v="Cash"/>
  </r>
  <r>
    <x v="78"/>
    <d v="2023-09-09T00:00:00"/>
    <x v="8"/>
    <x v="0"/>
    <s v="Furniture"/>
    <s v="Tables"/>
    <n v="9"/>
    <n v="275.35000000000002"/>
    <n v="0"/>
    <n v="2478.17"/>
    <n v="550.02"/>
    <s v="UPI"/>
  </r>
  <r>
    <x v="79"/>
    <d v="2023-07-09T00:00:00"/>
    <x v="9"/>
    <x v="3"/>
    <s v="Office Supplies"/>
    <s v="Paper"/>
    <n v="1"/>
    <n v="626.07000000000005"/>
    <n v="0"/>
    <n v="626.07000000000005"/>
    <n v="44.53"/>
    <s v="Net Banking"/>
  </r>
  <r>
    <x v="80"/>
    <d v="2023-10-23T00:00:00"/>
    <x v="8"/>
    <x v="0"/>
    <s v="Office Supplies"/>
    <s v="Pens"/>
    <n v="8"/>
    <n v="1020.59"/>
    <n v="0.05"/>
    <n v="7756.51"/>
    <n v="1861.48"/>
    <s v="Credit Card"/>
  </r>
  <r>
    <x v="81"/>
    <d v="2023-08-01T00:00:00"/>
    <x v="3"/>
    <x v="0"/>
    <s v="Technology"/>
    <s v="Mobiles"/>
    <n v="8"/>
    <n v="352.92"/>
    <n v="0.1"/>
    <n v="2541.04"/>
    <n v="695.74"/>
    <s v="Cash"/>
  </r>
  <r>
    <x v="82"/>
    <d v="2023-07-27T00:00:00"/>
    <x v="5"/>
    <x v="3"/>
    <s v="Office Supplies"/>
    <s v="Pens"/>
    <n v="9"/>
    <n v="1501.07"/>
    <n v="0.15"/>
    <n v="11483.18"/>
    <n v="631.78"/>
    <s v="UPI"/>
  </r>
  <r>
    <x v="83"/>
    <d v="2023-08-25T00:00:00"/>
    <x v="2"/>
    <x v="1"/>
    <s v="Technology"/>
    <s v="Mobiles"/>
    <n v="9"/>
    <n v="1792"/>
    <n v="0.15"/>
    <n v="13708.81"/>
    <n v="2309.83"/>
    <s v="Credit Card"/>
  </r>
  <r>
    <x v="84"/>
    <d v="2023-12-04T00:00:00"/>
    <x v="8"/>
    <x v="3"/>
    <s v="Furniture"/>
    <s v="Tables"/>
    <n v="4"/>
    <n v="1120.5"/>
    <n v="0.05"/>
    <n v="4257.91"/>
    <n v="806.6"/>
    <s v="Net Banking"/>
  </r>
  <r>
    <x v="85"/>
    <d v="2023-02-22T00:00:00"/>
    <x v="3"/>
    <x v="1"/>
    <s v="Office Supplies"/>
    <s v="Binders"/>
    <n v="9"/>
    <n v="741.15"/>
    <n v="0.15"/>
    <n v="5669.79"/>
    <n v="1199.04"/>
    <s v="Net Banking"/>
  </r>
  <r>
    <x v="86"/>
    <d v="2023-10-07T00:00:00"/>
    <x v="0"/>
    <x v="0"/>
    <s v="Office Supplies"/>
    <s v="Paper"/>
    <n v="6"/>
    <n v="1250.97"/>
    <n v="0"/>
    <n v="7505.83"/>
    <n v="389.43"/>
    <s v="Cash"/>
  </r>
  <r>
    <x v="87"/>
    <d v="2023-08-05T00:00:00"/>
    <x v="8"/>
    <x v="3"/>
    <s v="Office Supplies"/>
    <s v="Binders"/>
    <n v="8"/>
    <n v="1803.85"/>
    <n v="0.1"/>
    <n v="12987.75"/>
    <n v="2352.44"/>
    <s v="Net Banking"/>
  </r>
  <r>
    <x v="88"/>
    <d v="2023-09-09T00:00:00"/>
    <x v="7"/>
    <x v="0"/>
    <s v="Office Supplies"/>
    <s v="Binders"/>
    <n v="2"/>
    <n v="1194.4000000000001"/>
    <n v="0.1"/>
    <n v="2149.91"/>
    <n v="572.69000000000005"/>
    <s v="Credit Card"/>
  </r>
  <r>
    <x v="89"/>
    <d v="2023-07-07T00:00:00"/>
    <x v="8"/>
    <x v="0"/>
    <s v="Technology"/>
    <s v="Mobiles"/>
    <n v="3"/>
    <n v="1659.64"/>
    <n v="0.05"/>
    <n v="4729.96"/>
    <n v="894.87"/>
    <s v="UPI"/>
  </r>
  <r>
    <x v="90"/>
    <d v="2023-02-10T00:00:00"/>
    <x v="6"/>
    <x v="2"/>
    <s v="Furniture"/>
    <s v="Chairs"/>
    <n v="6"/>
    <n v="1939.19"/>
    <n v="0.15"/>
    <n v="9889.86"/>
    <n v="1546.37"/>
    <s v="Credit Card"/>
  </r>
  <r>
    <x v="91"/>
    <d v="2023-06-06T00:00:00"/>
    <x v="9"/>
    <x v="3"/>
    <s v="Office Supplies"/>
    <s v="Paper"/>
    <n v="6"/>
    <n v="1204.3499999999999"/>
    <n v="0.1"/>
    <n v="6503.5"/>
    <n v="1840.51"/>
    <s v="Cash"/>
  </r>
  <r>
    <x v="92"/>
    <d v="2023-01-15T00:00:00"/>
    <x v="8"/>
    <x v="0"/>
    <s v="Technology"/>
    <s v="Mobiles"/>
    <n v="5"/>
    <n v="220.41"/>
    <n v="0.15"/>
    <n v="936.75"/>
    <n v="94.08"/>
    <s v="Net Banking"/>
  </r>
  <r>
    <x v="93"/>
    <d v="2023-10-28T00:00:00"/>
    <x v="8"/>
    <x v="0"/>
    <s v="Furniture"/>
    <s v="Bookcases"/>
    <n v="5"/>
    <n v="105.15"/>
    <n v="0"/>
    <n v="525.75"/>
    <n v="104.58"/>
    <s v="UPI"/>
  </r>
  <r>
    <x v="94"/>
    <d v="2023-03-06T00:00:00"/>
    <x v="0"/>
    <x v="2"/>
    <s v="Office Supplies"/>
    <s v="Binders"/>
    <n v="1"/>
    <n v="1716.38"/>
    <n v="0.15"/>
    <n v="1458.92"/>
    <n v="424.92"/>
    <s v="UPI"/>
  </r>
  <r>
    <x v="95"/>
    <d v="2023-12-11T00:00:00"/>
    <x v="8"/>
    <x v="1"/>
    <s v="Furniture"/>
    <s v="Tables"/>
    <n v="3"/>
    <n v="226.34"/>
    <n v="0.15"/>
    <n v="577.16999999999996"/>
    <n v="150.33000000000001"/>
    <s v="Credit Card"/>
  </r>
  <r>
    <x v="96"/>
    <d v="2023-11-23T00:00:00"/>
    <x v="2"/>
    <x v="0"/>
    <s v="Furniture"/>
    <s v="Tables"/>
    <n v="3"/>
    <n v="412.11"/>
    <n v="0.2"/>
    <n v="989.05"/>
    <n v="107.73"/>
    <s v="Net Banking"/>
  </r>
  <r>
    <x v="97"/>
    <d v="2023-01-09T00:00:00"/>
    <x v="6"/>
    <x v="1"/>
    <s v="Furniture"/>
    <s v="Chairs"/>
    <n v="9"/>
    <n v="1397.67"/>
    <n v="0.1"/>
    <n v="11321.09"/>
    <n v="2332.4299999999998"/>
    <s v="UPI"/>
  </r>
  <r>
    <x v="98"/>
    <d v="2023-12-10T00:00:00"/>
    <x v="8"/>
    <x v="2"/>
    <s v="Office Supplies"/>
    <s v="Paper"/>
    <n v="9"/>
    <n v="775.19"/>
    <n v="0.05"/>
    <n v="6627.86"/>
    <n v="1232.04"/>
    <s v="UPI"/>
  </r>
  <r>
    <x v="99"/>
    <d v="2023-05-09T00:00:00"/>
    <x v="4"/>
    <x v="1"/>
    <s v="Office Supplies"/>
    <s v="Pens"/>
    <n v="6"/>
    <n v="1885.68"/>
    <n v="0.1"/>
    <n v="10182.68"/>
    <n v="1361.69"/>
    <s v="UPI"/>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1000"/>
    <x v="0"/>
    <x v="0"/>
    <x v="0"/>
    <x v="0"/>
    <s v="Pens"/>
    <n v="3"/>
    <n v="1443.03"/>
    <n v="0.1"/>
    <n v="3896.18"/>
    <n v="964.48"/>
    <s v="UPI"/>
    <n v="4329.09"/>
  </r>
  <r>
    <s v="ORD-1001"/>
    <x v="1"/>
    <x v="1"/>
    <x v="1"/>
    <x v="1"/>
    <s v="Laptops"/>
    <n v="7"/>
    <n v="1715.07"/>
    <n v="0.15"/>
    <n v="10204.69"/>
    <n v="1354.41"/>
    <s v="Cash"/>
    <n v="12005.49"/>
  </r>
  <r>
    <s v="ORD-1002"/>
    <x v="2"/>
    <x v="0"/>
    <x v="1"/>
    <x v="2"/>
    <s v="Bookcases"/>
    <n v="8"/>
    <n v="621.97"/>
    <n v="0.1"/>
    <n v="4478.1899999999996"/>
    <n v="752.58"/>
    <s v="Cash"/>
    <n v="4975.76"/>
  </r>
  <r>
    <s v="ORD-1003"/>
    <x v="3"/>
    <x v="2"/>
    <x v="0"/>
    <x v="0"/>
    <s v="Paper"/>
    <n v="5"/>
    <n v="1166.43"/>
    <n v="0.1"/>
    <n v="5248.92"/>
    <n v="948.39"/>
    <s v="Net Banking"/>
    <n v="5832.1500000000005"/>
  </r>
  <r>
    <s v="ORD-1004"/>
    <x v="4"/>
    <x v="0"/>
    <x v="1"/>
    <x v="2"/>
    <s v="Bookcases"/>
    <n v="7"/>
    <n v="1003.2"/>
    <n v="0.2"/>
    <n v="5617.94"/>
    <n v="995.18"/>
    <s v="UPI"/>
    <n v="7022.4000000000005"/>
  </r>
  <r>
    <s v="ORD-1005"/>
    <x v="5"/>
    <x v="3"/>
    <x v="0"/>
    <x v="2"/>
    <s v="Bookcases"/>
    <n v="4"/>
    <n v="1891.42"/>
    <n v="0.1"/>
    <n v="6809.12"/>
    <n v="1523.17"/>
    <s v="Credit Card"/>
    <n v="7565.68"/>
  </r>
  <r>
    <s v="ORD-1006"/>
    <x v="6"/>
    <x v="4"/>
    <x v="0"/>
    <x v="1"/>
    <s v="Laptops"/>
    <n v="5"/>
    <n v="1755.78"/>
    <n v="0.15"/>
    <n v="7462.04"/>
    <n v="780.61"/>
    <s v="Cash"/>
    <n v="8778.9"/>
  </r>
  <r>
    <s v="ORD-1007"/>
    <x v="0"/>
    <x v="5"/>
    <x v="2"/>
    <x v="0"/>
    <s v="Binders"/>
    <n v="7"/>
    <n v="1802.57"/>
    <n v="0"/>
    <n v="12618.01"/>
    <n v="1489.34"/>
    <s v="Credit Card"/>
    <n v="12617.99"/>
  </r>
  <r>
    <s v="ORD-1008"/>
    <x v="7"/>
    <x v="0"/>
    <x v="3"/>
    <x v="2"/>
    <s v="Bookcases"/>
    <n v="7"/>
    <n v="412.85"/>
    <n v="0.1"/>
    <n v="2600.9299999999998"/>
    <n v="401.46"/>
    <s v="UPI"/>
    <n v="2889.9500000000003"/>
  </r>
  <r>
    <s v="ORD-1009"/>
    <x v="8"/>
    <x v="6"/>
    <x v="0"/>
    <x v="1"/>
    <s v="Printers"/>
    <n v="6"/>
    <n v="515.65"/>
    <n v="0"/>
    <n v="3093.91"/>
    <n v="467.05"/>
    <s v="Net Banking"/>
    <n v="3093.8999999999996"/>
  </r>
  <r>
    <s v="ORD-1010"/>
    <x v="9"/>
    <x v="6"/>
    <x v="1"/>
    <x v="1"/>
    <s v="Printers"/>
    <n v="2"/>
    <n v="1453.31"/>
    <n v="0.2"/>
    <n v="2325.3000000000002"/>
    <n v="281.85000000000002"/>
    <s v="Credit Card"/>
    <n v="2906.62"/>
  </r>
  <r>
    <s v="ORD-1011"/>
    <x v="10"/>
    <x v="3"/>
    <x v="3"/>
    <x v="1"/>
    <s v="Mobiles"/>
    <n v="6"/>
    <n v="162.80000000000001"/>
    <n v="0"/>
    <n v="976.78"/>
    <n v="203.74"/>
    <s v="Net Banking"/>
    <n v="976.80000000000007"/>
  </r>
  <r>
    <s v="ORD-1012"/>
    <x v="11"/>
    <x v="6"/>
    <x v="1"/>
    <x v="1"/>
    <s v="Mobiles"/>
    <n v="7"/>
    <n v="1377.06"/>
    <n v="0.1"/>
    <n v="8675.4599999999991"/>
    <n v="1235.5"/>
    <s v="Cash"/>
    <n v="9639.42"/>
  </r>
  <r>
    <s v="ORD-1013"/>
    <x v="12"/>
    <x v="7"/>
    <x v="2"/>
    <x v="2"/>
    <s v="Tables"/>
    <n v="6"/>
    <n v="857.77"/>
    <n v="0"/>
    <n v="5146.6000000000004"/>
    <n v="451.25"/>
    <s v="Credit Card"/>
    <n v="5146.62"/>
  </r>
  <r>
    <s v="ORD-1014"/>
    <x v="13"/>
    <x v="4"/>
    <x v="2"/>
    <x v="0"/>
    <s v="Pens"/>
    <n v="4"/>
    <n v="131.52000000000001"/>
    <n v="0.1"/>
    <n v="473.46"/>
    <n v="119.49"/>
    <s v="UPI"/>
    <n v="526.08000000000004"/>
  </r>
  <r>
    <s v="ORD-1015"/>
    <x v="14"/>
    <x v="5"/>
    <x v="3"/>
    <x v="2"/>
    <s v="Chairs"/>
    <n v="8"/>
    <n v="834.8"/>
    <n v="0.05"/>
    <n v="6344.46"/>
    <n v="1645.93"/>
    <s v="Cash"/>
    <n v="6678.4"/>
  </r>
  <r>
    <s v="ORD-1016"/>
    <x v="15"/>
    <x v="4"/>
    <x v="2"/>
    <x v="0"/>
    <s v="Pens"/>
    <n v="3"/>
    <n v="534.25"/>
    <n v="0.05"/>
    <n v="1522.6"/>
    <n v="449.99"/>
    <s v="Credit Card"/>
    <n v="1602.75"/>
  </r>
  <r>
    <s v="ORD-1017"/>
    <x v="16"/>
    <x v="5"/>
    <x v="1"/>
    <x v="1"/>
    <s v="Laptops"/>
    <n v="5"/>
    <n v="1810.79"/>
    <n v="0.1"/>
    <n v="8148.57"/>
    <n v="791.85"/>
    <s v="UPI"/>
    <n v="9053.9500000000007"/>
  </r>
  <r>
    <s v="ORD-1018"/>
    <x v="17"/>
    <x v="8"/>
    <x v="2"/>
    <x v="0"/>
    <s v="Binders"/>
    <n v="8"/>
    <n v="1786.76"/>
    <n v="0.15"/>
    <n v="12149.99"/>
    <n v="863.07"/>
    <s v="Cash"/>
    <n v="14294.08"/>
  </r>
  <r>
    <s v="ORD-1019"/>
    <x v="18"/>
    <x v="3"/>
    <x v="0"/>
    <x v="1"/>
    <s v="Printers"/>
    <n v="9"/>
    <n v="1360.65"/>
    <n v="0.2"/>
    <n v="9796.7000000000007"/>
    <n v="1185.21"/>
    <s v="Cash"/>
    <n v="12245.85"/>
  </r>
  <r>
    <s v="ORD-1020"/>
    <x v="19"/>
    <x v="0"/>
    <x v="2"/>
    <x v="0"/>
    <s v="Paper"/>
    <n v="9"/>
    <n v="434.26"/>
    <n v="0.15"/>
    <n v="3322.07"/>
    <n v="363.14"/>
    <s v="Net Banking"/>
    <n v="3908.34"/>
  </r>
  <r>
    <s v="ORD-1021"/>
    <x v="20"/>
    <x v="7"/>
    <x v="1"/>
    <x v="0"/>
    <s v="Pens"/>
    <n v="1"/>
    <n v="685.32"/>
    <n v="0.15"/>
    <n v="582.52"/>
    <n v="103.22"/>
    <s v="Cash"/>
    <n v="685.32"/>
  </r>
  <r>
    <s v="ORD-1022"/>
    <x v="21"/>
    <x v="3"/>
    <x v="3"/>
    <x v="1"/>
    <s v="Mobiles"/>
    <n v="6"/>
    <n v="1959.9"/>
    <n v="0.1"/>
    <n v="10583.44"/>
    <n v="2889.4"/>
    <s v="Cash"/>
    <n v="11759.400000000001"/>
  </r>
  <r>
    <s v="ORD-1023"/>
    <x v="22"/>
    <x v="4"/>
    <x v="1"/>
    <x v="2"/>
    <s v="Bookcases"/>
    <n v="1"/>
    <n v="470.96"/>
    <n v="0.2"/>
    <n v="376.77"/>
    <n v="65.86"/>
    <s v="Net Banking"/>
    <n v="470.96"/>
  </r>
  <r>
    <s v="ORD-1024"/>
    <x v="23"/>
    <x v="8"/>
    <x v="3"/>
    <x v="2"/>
    <s v="Chairs"/>
    <n v="5"/>
    <n v="1778.64"/>
    <n v="0.15"/>
    <n v="7559.21"/>
    <n v="407.17"/>
    <s v="Credit Card"/>
    <n v="8893.2000000000007"/>
  </r>
  <r>
    <s v="ORD-1025"/>
    <x v="24"/>
    <x v="0"/>
    <x v="2"/>
    <x v="1"/>
    <s v="Laptops"/>
    <n v="3"/>
    <n v="1962.63"/>
    <n v="0.15"/>
    <n v="5004.71"/>
    <n v="618.64"/>
    <s v="UPI"/>
    <n v="5887.89"/>
  </r>
  <r>
    <s v="ORD-1026"/>
    <x v="25"/>
    <x v="8"/>
    <x v="0"/>
    <x v="2"/>
    <s v="Bookcases"/>
    <n v="2"/>
    <n v="1157.92"/>
    <n v="0.05"/>
    <n v="2200.0500000000002"/>
    <n v="621.52"/>
    <s v="Net Banking"/>
    <n v="2315.84"/>
  </r>
  <r>
    <s v="ORD-1027"/>
    <x v="26"/>
    <x v="2"/>
    <x v="3"/>
    <x v="0"/>
    <s v="Binders"/>
    <n v="7"/>
    <n v="366.16"/>
    <n v="0.1"/>
    <n v="2306.81"/>
    <n v="285.63"/>
    <s v="Net Banking"/>
    <n v="2563.1200000000003"/>
  </r>
  <r>
    <s v="ORD-1028"/>
    <x v="27"/>
    <x v="2"/>
    <x v="1"/>
    <x v="2"/>
    <s v="Chairs"/>
    <n v="6"/>
    <n v="783.03"/>
    <n v="0.2"/>
    <n v="3758.56"/>
    <n v="466.54"/>
    <s v="Cash"/>
    <n v="4698.18"/>
  </r>
  <r>
    <s v="ORD-1029"/>
    <x v="28"/>
    <x v="8"/>
    <x v="2"/>
    <x v="2"/>
    <s v="Chairs"/>
    <n v="7"/>
    <n v="1052.8800000000001"/>
    <n v="0.2"/>
    <n v="5896.13"/>
    <n v="581.16999999999996"/>
    <s v="Cash"/>
    <n v="7370.1600000000008"/>
  </r>
  <r>
    <s v="ORD-1030"/>
    <x v="29"/>
    <x v="1"/>
    <x v="1"/>
    <x v="1"/>
    <s v="Printers"/>
    <n v="7"/>
    <n v="152.47"/>
    <n v="0.05"/>
    <n v="1013.94"/>
    <n v="74.52"/>
    <s v="Cash"/>
    <n v="1067.29"/>
  </r>
  <r>
    <s v="ORD-1031"/>
    <x v="30"/>
    <x v="7"/>
    <x v="1"/>
    <x v="0"/>
    <s v="Paper"/>
    <n v="6"/>
    <n v="1222.58"/>
    <n v="0"/>
    <n v="7335.5"/>
    <n v="435.27"/>
    <s v="Cash"/>
    <n v="7335.48"/>
  </r>
  <r>
    <s v="ORD-1032"/>
    <x v="31"/>
    <x v="0"/>
    <x v="1"/>
    <x v="0"/>
    <s v="Paper"/>
    <n v="1"/>
    <n v="1672.95"/>
    <n v="0.15"/>
    <n v="1422.01"/>
    <n v="147.83000000000001"/>
    <s v="Net Banking"/>
    <n v="1672.95"/>
  </r>
  <r>
    <s v="ORD-1033"/>
    <x v="2"/>
    <x v="4"/>
    <x v="2"/>
    <x v="1"/>
    <s v="Laptops"/>
    <n v="4"/>
    <n v="881.57"/>
    <n v="0.1"/>
    <n v="3173.66"/>
    <n v="664.43"/>
    <s v="Credit Card"/>
    <n v="3526.28"/>
  </r>
  <r>
    <s v="ORD-1034"/>
    <x v="32"/>
    <x v="1"/>
    <x v="0"/>
    <x v="1"/>
    <s v="Mobiles"/>
    <n v="3"/>
    <n v="1610.85"/>
    <n v="0.1"/>
    <n v="4349.3100000000004"/>
    <n v="694.77"/>
    <s v="Credit Card"/>
    <n v="4832.5499999999993"/>
  </r>
  <r>
    <s v="ORD-1035"/>
    <x v="33"/>
    <x v="2"/>
    <x v="0"/>
    <x v="1"/>
    <s v="Laptops"/>
    <n v="7"/>
    <n v="913.8"/>
    <n v="0.15"/>
    <n v="5437.1"/>
    <n v="827.73"/>
    <s v="Credit Card"/>
    <n v="6396.5999999999995"/>
  </r>
  <r>
    <s v="ORD-1036"/>
    <x v="34"/>
    <x v="1"/>
    <x v="2"/>
    <x v="0"/>
    <s v="Binders"/>
    <n v="6"/>
    <n v="1457.73"/>
    <n v="0.2"/>
    <n v="6997.11"/>
    <n v="839.54"/>
    <s v="UPI"/>
    <n v="8746.380000000001"/>
  </r>
  <r>
    <s v="ORD-1037"/>
    <x v="35"/>
    <x v="0"/>
    <x v="0"/>
    <x v="2"/>
    <s v="Tables"/>
    <n v="7"/>
    <n v="190.66"/>
    <n v="0.05"/>
    <n v="1267.8900000000001"/>
    <n v="176.23"/>
    <s v="Credit Card"/>
    <n v="1334.62"/>
  </r>
  <r>
    <s v="ORD-1038"/>
    <x v="36"/>
    <x v="2"/>
    <x v="0"/>
    <x v="2"/>
    <s v="Tables"/>
    <n v="5"/>
    <n v="278.89999999999998"/>
    <n v="0.15"/>
    <n v="1185.32"/>
    <n v="111.22"/>
    <s v="Net Banking"/>
    <n v="1394.5"/>
  </r>
  <r>
    <s v="ORD-1039"/>
    <x v="37"/>
    <x v="2"/>
    <x v="0"/>
    <x v="2"/>
    <s v="Bookcases"/>
    <n v="4"/>
    <n v="429.08"/>
    <n v="0.2"/>
    <n v="1373.07"/>
    <n v="205.45"/>
    <s v="Credit Card"/>
    <n v="1716.32"/>
  </r>
  <r>
    <s v="ORD-1040"/>
    <x v="38"/>
    <x v="4"/>
    <x v="2"/>
    <x v="1"/>
    <s v="Printers"/>
    <n v="3"/>
    <n v="1055.96"/>
    <n v="0"/>
    <n v="3167.88"/>
    <n v="585.55999999999995"/>
    <s v="Net Banking"/>
    <n v="3167.88"/>
  </r>
  <r>
    <s v="ORD-1041"/>
    <x v="14"/>
    <x v="3"/>
    <x v="1"/>
    <x v="0"/>
    <s v="Binders"/>
    <n v="1"/>
    <n v="1747.68"/>
    <n v="0.1"/>
    <n v="1572.91"/>
    <n v="393.6"/>
    <s v="Net Banking"/>
    <n v="1747.68"/>
  </r>
  <r>
    <s v="ORD-1042"/>
    <x v="39"/>
    <x v="6"/>
    <x v="2"/>
    <x v="2"/>
    <s v="Chairs"/>
    <n v="3"/>
    <n v="1659.22"/>
    <n v="0.15"/>
    <n v="4231"/>
    <n v="619.95000000000005"/>
    <s v="Cash"/>
    <n v="4977.66"/>
  </r>
  <r>
    <s v="ORD-1043"/>
    <x v="40"/>
    <x v="6"/>
    <x v="0"/>
    <x v="0"/>
    <s v="Paper"/>
    <n v="2"/>
    <n v="174.03"/>
    <n v="0.05"/>
    <n v="330.66"/>
    <n v="72.989999999999995"/>
    <s v="Net Banking"/>
    <n v="348.06"/>
  </r>
  <r>
    <s v="ORD-1044"/>
    <x v="6"/>
    <x v="3"/>
    <x v="3"/>
    <x v="2"/>
    <s v="Tables"/>
    <n v="2"/>
    <n v="595.32000000000005"/>
    <n v="0.15"/>
    <n v="1012.04"/>
    <n v="225.91"/>
    <s v="UPI"/>
    <n v="1190.6400000000001"/>
  </r>
  <r>
    <s v="ORD-1045"/>
    <x v="41"/>
    <x v="5"/>
    <x v="2"/>
    <x v="2"/>
    <s v="Chairs"/>
    <n v="5"/>
    <n v="1938.4"/>
    <n v="0.15"/>
    <n v="8238.2099999999991"/>
    <n v="777.36"/>
    <s v="Net Banking"/>
    <n v="9692"/>
  </r>
  <r>
    <s v="ORD-1046"/>
    <x v="42"/>
    <x v="8"/>
    <x v="1"/>
    <x v="0"/>
    <s v="Paper"/>
    <n v="3"/>
    <n v="883.97"/>
    <n v="0.05"/>
    <n v="2519.3200000000002"/>
    <n v="283.43"/>
    <s v="Cash"/>
    <n v="2651.91"/>
  </r>
  <r>
    <s v="ORD-1047"/>
    <x v="43"/>
    <x v="6"/>
    <x v="3"/>
    <x v="2"/>
    <s v="Chairs"/>
    <n v="7"/>
    <n v="1526.66"/>
    <n v="0"/>
    <n v="10686.59"/>
    <n v="1170.81"/>
    <s v="Cash"/>
    <n v="10686.62"/>
  </r>
  <r>
    <s v="ORD-1048"/>
    <x v="44"/>
    <x v="9"/>
    <x v="2"/>
    <x v="2"/>
    <s v="Tables"/>
    <n v="3"/>
    <n v="839.48"/>
    <n v="0.15"/>
    <n v="2140.6799999999998"/>
    <n v="620.02"/>
    <s v="Credit Card"/>
    <n v="2518.44"/>
  </r>
  <r>
    <s v="ORD-1049"/>
    <x v="45"/>
    <x v="5"/>
    <x v="2"/>
    <x v="0"/>
    <s v="Binders"/>
    <n v="4"/>
    <n v="1189.53"/>
    <n v="0.2"/>
    <n v="3806.5"/>
    <n v="277.58999999999997"/>
    <s v="UPI"/>
    <n v="4758.12"/>
  </r>
  <r>
    <s v="ORD-1050"/>
    <x v="46"/>
    <x v="2"/>
    <x v="1"/>
    <x v="2"/>
    <s v="Chairs"/>
    <n v="7"/>
    <n v="1584.46"/>
    <n v="0.2"/>
    <n v="8872.99"/>
    <n v="2508.6799999999998"/>
    <s v="Cash"/>
    <n v="11091.220000000001"/>
  </r>
  <r>
    <s v="ORD-1051"/>
    <x v="47"/>
    <x v="3"/>
    <x v="1"/>
    <x v="0"/>
    <s v="Binders"/>
    <n v="5"/>
    <n v="1500.37"/>
    <n v="0.2"/>
    <n v="6001.47"/>
    <n v="826.58"/>
    <s v="Net Banking"/>
    <n v="7501.8499999999995"/>
  </r>
  <r>
    <s v="ORD-1052"/>
    <x v="48"/>
    <x v="5"/>
    <x v="0"/>
    <x v="2"/>
    <s v="Tables"/>
    <n v="1"/>
    <n v="292.13"/>
    <n v="0.2"/>
    <n v="233.71"/>
    <n v="24.69"/>
    <s v="UPI"/>
    <n v="292.13"/>
  </r>
  <r>
    <s v="ORD-1053"/>
    <x v="49"/>
    <x v="6"/>
    <x v="0"/>
    <x v="1"/>
    <s v="Mobiles"/>
    <n v="5"/>
    <n v="1075.32"/>
    <n v="0.1"/>
    <n v="4838.9399999999996"/>
    <n v="945.17"/>
    <s v="Net Banking"/>
    <n v="5376.5999999999995"/>
  </r>
  <r>
    <s v="ORD-1054"/>
    <x v="50"/>
    <x v="9"/>
    <x v="3"/>
    <x v="2"/>
    <s v="Bookcases"/>
    <n v="7"/>
    <n v="1973.4"/>
    <n v="0.15"/>
    <n v="11741.74"/>
    <n v="1615.13"/>
    <s v="Net Banking"/>
    <n v="13813.800000000001"/>
  </r>
  <r>
    <s v="ORD-1055"/>
    <x v="51"/>
    <x v="3"/>
    <x v="2"/>
    <x v="1"/>
    <s v="Printers"/>
    <n v="3"/>
    <n v="311.27999999999997"/>
    <n v="0.1"/>
    <n v="840.44"/>
    <n v="95.32"/>
    <s v="Cash"/>
    <n v="933.83999999999992"/>
  </r>
  <r>
    <s v="ORD-1056"/>
    <x v="52"/>
    <x v="5"/>
    <x v="1"/>
    <x v="1"/>
    <s v="Laptops"/>
    <n v="9"/>
    <n v="1514"/>
    <n v="0.1"/>
    <n v="12263.42"/>
    <n v="2401.69"/>
    <s v="Net Banking"/>
    <n v="13626"/>
  </r>
  <r>
    <s v="ORD-1057"/>
    <x v="53"/>
    <x v="0"/>
    <x v="2"/>
    <x v="2"/>
    <s v="Chairs"/>
    <n v="8"/>
    <n v="1103.9000000000001"/>
    <n v="0.2"/>
    <n v="7064.98"/>
    <n v="2054.54"/>
    <s v="Cash"/>
    <n v="8831.2000000000007"/>
  </r>
  <r>
    <s v="ORD-1058"/>
    <x v="54"/>
    <x v="3"/>
    <x v="1"/>
    <x v="2"/>
    <s v="Bookcases"/>
    <n v="5"/>
    <n v="580.67999999999995"/>
    <n v="0.1"/>
    <n v="2613.0700000000002"/>
    <n v="763.87"/>
    <s v="Credit Card"/>
    <n v="2903.3999999999996"/>
  </r>
  <r>
    <s v="ORD-1059"/>
    <x v="55"/>
    <x v="5"/>
    <x v="1"/>
    <x v="2"/>
    <s v="Tables"/>
    <n v="1"/>
    <n v="1292.3599999999999"/>
    <n v="0.1"/>
    <n v="1163.1199999999999"/>
    <n v="320.2"/>
    <s v="Net Banking"/>
    <n v="1292.3599999999999"/>
  </r>
  <r>
    <s v="ORD-1060"/>
    <x v="56"/>
    <x v="2"/>
    <x v="2"/>
    <x v="1"/>
    <s v="Mobiles"/>
    <n v="8"/>
    <n v="1278.25"/>
    <n v="0.05"/>
    <n v="9714.7099999999991"/>
    <n v="942.62"/>
    <s v="Cash"/>
    <n v="10226"/>
  </r>
  <r>
    <s v="ORD-1061"/>
    <x v="57"/>
    <x v="6"/>
    <x v="3"/>
    <x v="1"/>
    <s v="Laptops"/>
    <n v="9"/>
    <n v="593.9"/>
    <n v="0.1"/>
    <n v="4810.63"/>
    <n v="1080.18"/>
    <s v="Credit Card"/>
    <n v="5345.0999999999995"/>
  </r>
  <r>
    <s v="ORD-1062"/>
    <x v="12"/>
    <x v="0"/>
    <x v="1"/>
    <x v="2"/>
    <s v="Chairs"/>
    <n v="3"/>
    <n v="1662.82"/>
    <n v="0.05"/>
    <n v="4739.04"/>
    <n v="730.57"/>
    <s v="Credit Card"/>
    <n v="4988.46"/>
  </r>
  <r>
    <s v="ORD-1063"/>
    <x v="58"/>
    <x v="1"/>
    <x v="2"/>
    <x v="1"/>
    <s v="Mobiles"/>
    <n v="8"/>
    <n v="1765.66"/>
    <n v="0.1"/>
    <n v="12712.73"/>
    <n v="779.35"/>
    <s v="Credit Card"/>
    <n v="14125.28"/>
  </r>
  <r>
    <s v="ORD-1064"/>
    <x v="59"/>
    <x v="2"/>
    <x v="1"/>
    <x v="1"/>
    <s v="Laptops"/>
    <n v="2"/>
    <n v="1975.82"/>
    <n v="0"/>
    <n v="3951.65"/>
    <n v="569.77"/>
    <s v="Credit Card"/>
    <n v="3951.64"/>
  </r>
  <r>
    <s v="ORD-1065"/>
    <x v="60"/>
    <x v="6"/>
    <x v="3"/>
    <x v="1"/>
    <s v="Printers"/>
    <n v="1"/>
    <n v="1692.82"/>
    <n v="0.05"/>
    <n v="1608.18"/>
    <n v="95.21"/>
    <s v="Net Banking"/>
    <n v="1692.82"/>
  </r>
  <r>
    <s v="ORD-1066"/>
    <x v="61"/>
    <x v="0"/>
    <x v="1"/>
    <x v="0"/>
    <s v="Binders"/>
    <n v="1"/>
    <n v="1115.26"/>
    <n v="0.2"/>
    <n v="892.21"/>
    <n v="266.91000000000003"/>
    <s v="Credit Card"/>
    <n v="1115.26"/>
  </r>
  <r>
    <s v="ORD-1067"/>
    <x v="62"/>
    <x v="9"/>
    <x v="3"/>
    <x v="2"/>
    <s v="Chairs"/>
    <n v="3"/>
    <n v="569.96"/>
    <n v="0"/>
    <n v="1709.88"/>
    <n v="140.71"/>
    <s v="Credit Card"/>
    <n v="1709.88"/>
  </r>
  <r>
    <s v="ORD-1068"/>
    <x v="63"/>
    <x v="8"/>
    <x v="1"/>
    <x v="1"/>
    <s v="Laptops"/>
    <n v="1"/>
    <n v="1538.3"/>
    <n v="0.05"/>
    <n v="1461.38"/>
    <n v="203.92"/>
    <s v="Cash"/>
    <n v="1538.3"/>
  </r>
  <r>
    <s v="ORD-1069"/>
    <x v="64"/>
    <x v="6"/>
    <x v="0"/>
    <x v="1"/>
    <s v="Mobiles"/>
    <n v="6"/>
    <n v="1567.4"/>
    <n v="0.1"/>
    <n v="8463.99"/>
    <n v="1074.45"/>
    <s v="Net Banking"/>
    <n v="9404.4000000000015"/>
  </r>
  <r>
    <s v="ORD-1070"/>
    <x v="65"/>
    <x v="3"/>
    <x v="1"/>
    <x v="2"/>
    <s v="Tables"/>
    <n v="9"/>
    <n v="1220.92"/>
    <n v="0.2"/>
    <n v="8790.6"/>
    <n v="1802.75"/>
    <s v="UPI"/>
    <n v="10988.28"/>
  </r>
  <r>
    <s v="ORD-1071"/>
    <x v="66"/>
    <x v="9"/>
    <x v="1"/>
    <x v="0"/>
    <s v="Binders"/>
    <n v="2"/>
    <n v="766.12"/>
    <n v="0.05"/>
    <n v="1455.62"/>
    <n v="304.45999999999998"/>
    <s v="Cash"/>
    <n v="1532.24"/>
  </r>
  <r>
    <s v="ORD-1072"/>
    <x v="67"/>
    <x v="2"/>
    <x v="1"/>
    <x v="2"/>
    <s v="Tables"/>
    <n v="1"/>
    <n v="1588.94"/>
    <n v="0.15"/>
    <n v="1350.6"/>
    <n v="168.14"/>
    <s v="Credit Card"/>
    <n v="1588.94"/>
  </r>
  <r>
    <s v="ORD-1073"/>
    <x v="68"/>
    <x v="4"/>
    <x v="2"/>
    <x v="2"/>
    <s v="Chairs"/>
    <n v="4"/>
    <n v="972.76"/>
    <n v="0"/>
    <n v="3891.04"/>
    <n v="673.26"/>
    <s v="Credit Card"/>
    <n v="3891.04"/>
  </r>
  <r>
    <s v="ORD-1074"/>
    <x v="69"/>
    <x v="9"/>
    <x v="1"/>
    <x v="1"/>
    <s v="Mobiles"/>
    <n v="5"/>
    <n v="760.09"/>
    <n v="0.1"/>
    <n v="3420.38"/>
    <n v="666.68"/>
    <s v="Credit Card"/>
    <n v="3800.4500000000003"/>
  </r>
  <r>
    <s v="ORD-1075"/>
    <x v="70"/>
    <x v="8"/>
    <x v="3"/>
    <x v="0"/>
    <s v="Pens"/>
    <n v="6"/>
    <n v="1425.57"/>
    <n v="0.15"/>
    <n v="7270.4"/>
    <n v="694.11"/>
    <s v="UPI"/>
    <n v="8553.42"/>
  </r>
  <r>
    <s v="ORD-1076"/>
    <x v="2"/>
    <x v="0"/>
    <x v="0"/>
    <x v="0"/>
    <s v="Pens"/>
    <n v="2"/>
    <n v="1243.68"/>
    <n v="0.1"/>
    <n v="2238.62"/>
    <n v="134.80000000000001"/>
    <s v="Net Banking"/>
    <n v="2487.36"/>
  </r>
  <r>
    <s v="ORD-1077"/>
    <x v="8"/>
    <x v="2"/>
    <x v="0"/>
    <x v="1"/>
    <s v="Laptops"/>
    <n v="6"/>
    <n v="268.52999999999997"/>
    <n v="0"/>
    <n v="1611.21"/>
    <n v="295.83"/>
    <s v="Cash"/>
    <n v="1611.1799999999998"/>
  </r>
  <r>
    <s v="ORD-1078"/>
    <x v="71"/>
    <x v="8"/>
    <x v="0"/>
    <x v="2"/>
    <s v="Tables"/>
    <n v="9"/>
    <n v="275.35000000000002"/>
    <n v="0"/>
    <n v="2478.17"/>
    <n v="550.02"/>
    <s v="UPI"/>
    <n v="2478.15"/>
  </r>
  <r>
    <s v="ORD-1079"/>
    <x v="32"/>
    <x v="9"/>
    <x v="3"/>
    <x v="0"/>
    <s v="Paper"/>
    <n v="1"/>
    <n v="626.07000000000005"/>
    <n v="0"/>
    <n v="626.07000000000005"/>
    <n v="44.53"/>
    <s v="Net Banking"/>
    <n v="626.07000000000005"/>
  </r>
  <r>
    <s v="ORD-1080"/>
    <x v="72"/>
    <x v="8"/>
    <x v="0"/>
    <x v="0"/>
    <s v="Pens"/>
    <n v="8"/>
    <n v="1020.59"/>
    <n v="0.05"/>
    <n v="7756.51"/>
    <n v="1861.48"/>
    <s v="Credit Card"/>
    <n v="8164.72"/>
  </r>
  <r>
    <s v="ORD-1081"/>
    <x v="73"/>
    <x v="3"/>
    <x v="0"/>
    <x v="1"/>
    <s v="Mobiles"/>
    <n v="8"/>
    <n v="352.92"/>
    <n v="0.1"/>
    <n v="2541.04"/>
    <n v="695.74"/>
    <s v="Cash"/>
    <n v="2823.36"/>
  </r>
  <r>
    <s v="ORD-1082"/>
    <x v="74"/>
    <x v="5"/>
    <x v="3"/>
    <x v="0"/>
    <s v="Pens"/>
    <n v="9"/>
    <n v="1501.07"/>
    <n v="0.15"/>
    <n v="11483.18"/>
    <n v="631.78"/>
    <s v="UPI"/>
    <n v="13509.63"/>
  </r>
  <r>
    <s v="ORD-1083"/>
    <x v="75"/>
    <x v="2"/>
    <x v="1"/>
    <x v="1"/>
    <s v="Mobiles"/>
    <n v="9"/>
    <n v="1792"/>
    <n v="0.15"/>
    <n v="13708.81"/>
    <n v="2309.83"/>
    <s v="Credit Card"/>
    <n v="16128"/>
  </r>
  <r>
    <s v="ORD-1084"/>
    <x v="76"/>
    <x v="8"/>
    <x v="3"/>
    <x v="2"/>
    <s v="Tables"/>
    <n v="4"/>
    <n v="1120.5"/>
    <n v="0.05"/>
    <n v="4257.91"/>
    <n v="806.6"/>
    <s v="Net Banking"/>
    <n v="4482"/>
  </r>
  <r>
    <s v="ORD-1085"/>
    <x v="50"/>
    <x v="3"/>
    <x v="1"/>
    <x v="0"/>
    <s v="Binders"/>
    <n v="9"/>
    <n v="741.15"/>
    <n v="0.15"/>
    <n v="5669.79"/>
    <n v="1199.04"/>
    <s v="Net Banking"/>
    <n v="6670.3499999999995"/>
  </r>
  <r>
    <s v="ORD-1086"/>
    <x v="77"/>
    <x v="0"/>
    <x v="0"/>
    <x v="0"/>
    <s v="Paper"/>
    <n v="6"/>
    <n v="1250.97"/>
    <n v="0"/>
    <n v="7505.83"/>
    <n v="389.43"/>
    <s v="Cash"/>
    <n v="7505.82"/>
  </r>
  <r>
    <s v="ORD-1087"/>
    <x v="78"/>
    <x v="8"/>
    <x v="3"/>
    <x v="0"/>
    <s v="Binders"/>
    <n v="8"/>
    <n v="1803.85"/>
    <n v="0.1"/>
    <n v="12987.75"/>
    <n v="2352.44"/>
    <s v="Net Banking"/>
    <n v="14430.8"/>
  </r>
  <r>
    <s v="ORD-1088"/>
    <x v="71"/>
    <x v="7"/>
    <x v="0"/>
    <x v="0"/>
    <s v="Binders"/>
    <n v="2"/>
    <n v="1194.4000000000001"/>
    <n v="0.1"/>
    <n v="2149.91"/>
    <n v="572.69000000000005"/>
    <s v="Credit Card"/>
    <n v="2388.8000000000002"/>
  </r>
  <r>
    <s v="ORD-1089"/>
    <x v="31"/>
    <x v="8"/>
    <x v="0"/>
    <x v="1"/>
    <s v="Mobiles"/>
    <n v="3"/>
    <n v="1659.64"/>
    <n v="0.05"/>
    <n v="4729.96"/>
    <n v="894.87"/>
    <s v="UPI"/>
    <n v="4978.92"/>
  </r>
  <r>
    <s v="ORD-1090"/>
    <x v="79"/>
    <x v="6"/>
    <x v="2"/>
    <x v="2"/>
    <s v="Chairs"/>
    <n v="6"/>
    <n v="1939.19"/>
    <n v="0.15"/>
    <n v="9889.86"/>
    <n v="1546.37"/>
    <s v="Credit Card"/>
    <n v="11635.14"/>
  </r>
  <r>
    <s v="ORD-1091"/>
    <x v="80"/>
    <x v="9"/>
    <x v="3"/>
    <x v="0"/>
    <s v="Paper"/>
    <n v="6"/>
    <n v="1204.3499999999999"/>
    <n v="0.1"/>
    <n v="6503.5"/>
    <n v="1840.51"/>
    <s v="Cash"/>
    <n v="7226.0999999999995"/>
  </r>
  <r>
    <s v="ORD-1092"/>
    <x v="81"/>
    <x v="8"/>
    <x v="0"/>
    <x v="1"/>
    <s v="Mobiles"/>
    <n v="5"/>
    <n v="220.41"/>
    <n v="0.15"/>
    <n v="936.75"/>
    <n v="94.08"/>
    <s v="Net Banking"/>
    <n v="1102.05"/>
  </r>
  <r>
    <s v="ORD-1093"/>
    <x v="82"/>
    <x v="8"/>
    <x v="0"/>
    <x v="2"/>
    <s v="Bookcases"/>
    <n v="5"/>
    <n v="105.15"/>
    <n v="0"/>
    <n v="525.75"/>
    <n v="104.58"/>
    <s v="UPI"/>
    <n v="525.75"/>
  </r>
  <r>
    <s v="ORD-1094"/>
    <x v="83"/>
    <x v="0"/>
    <x v="2"/>
    <x v="0"/>
    <s v="Binders"/>
    <n v="1"/>
    <n v="1716.38"/>
    <n v="0.15"/>
    <n v="1458.92"/>
    <n v="424.92"/>
    <s v="UPI"/>
    <n v="1716.38"/>
  </r>
  <r>
    <s v="ORD-1095"/>
    <x v="27"/>
    <x v="8"/>
    <x v="1"/>
    <x v="2"/>
    <s v="Tables"/>
    <n v="3"/>
    <n v="226.34"/>
    <n v="0.15"/>
    <n v="577.16999999999996"/>
    <n v="150.33000000000001"/>
    <s v="Credit Card"/>
    <n v="679.02"/>
  </r>
  <r>
    <s v="ORD-1096"/>
    <x v="84"/>
    <x v="2"/>
    <x v="0"/>
    <x v="2"/>
    <s v="Tables"/>
    <n v="3"/>
    <n v="412.11"/>
    <n v="0.2"/>
    <n v="989.05"/>
    <n v="107.73"/>
    <s v="Net Banking"/>
    <n v="1236.33"/>
  </r>
  <r>
    <s v="ORD-1097"/>
    <x v="85"/>
    <x v="6"/>
    <x v="1"/>
    <x v="2"/>
    <s v="Chairs"/>
    <n v="9"/>
    <n v="1397.67"/>
    <n v="0.1"/>
    <n v="11321.09"/>
    <n v="2332.4299999999998"/>
    <s v="UPI"/>
    <n v="12579.03"/>
  </r>
  <r>
    <s v="ORD-1098"/>
    <x v="18"/>
    <x v="8"/>
    <x v="2"/>
    <x v="0"/>
    <s v="Paper"/>
    <n v="9"/>
    <n v="775.19"/>
    <n v="0.05"/>
    <n v="6627.86"/>
    <n v="1232.04"/>
    <s v="UPI"/>
    <n v="6976.7100000000009"/>
  </r>
  <r>
    <s v="ORD-1099"/>
    <x v="86"/>
    <x v="4"/>
    <x v="1"/>
    <x v="0"/>
    <s v="Pens"/>
    <n v="6"/>
    <n v="1885.68"/>
    <n v="0.1"/>
    <n v="10182.68"/>
    <n v="1361.69"/>
    <s v="UPI"/>
    <n v="11314.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BE538B-09F6-478C-B51B-C67C077D5CA5}" name="PivotTable7"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47:J55" firstHeaderRow="1" firstDataRow="1" firstDataCol="1" rowPageCount="2" colPageCount="1"/>
  <pivotFields count="16">
    <pivotField showAll="0"/>
    <pivotField numFmtId="14" showAll="0">
      <items count="88">
        <item x="58"/>
        <item x="85"/>
        <item x="46"/>
        <item x="81"/>
        <item x="6"/>
        <item x="24"/>
        <item x="54"/>
        <item x="79"/>
        <item x="65"/>
        <item x="28"/>
        <item x="57"/>
        <item x="34"/>
        <item x="50"/>
        <item x="59"/>
        <item x="36"/>
        <item x="29"/>
        <item x="83"/>
        <item x="4"/>
        <item x="56"/>
        <item x="10"/>
        <item x="44"/>
        <item x="52"/>
        <item x="11"/>
        <item x="0"/>
        <item x="60"/>
        <item x="3"/>
        <item x="7"/>
        <item x="86"/>
        <item x="14"/>
        <item x="40"/>
        <item x="15"/>
        <item x="13"/>
        <item x="80"/>
        <item x="22"/>
        <item x="66"/>
        <item x="42"/>
        <item x="30"/>
        <item x="33"/>
        <item x="31"/>
        <item x="5"/>
        <item x="32"/>
        <item x="63"/>
        <item x="20"/>
        <item x="67"/>
        <item x="55"/>
        <item x="74"/>
        <item x="73"/>
        <item x="8"/>
        <item x="78"/>
        <item x="64"/>
        <item x="26"/>
        <item x="75"/>
        <item x="47"/>
        <item x="37"/>
        <item x="71"/>
        <item x="25"/>
        <item x="17"/>
        <item x="61"/>
        <item x="53"/>
        <item x="48"/>
        <item x="68"/>
        <item x="2"/>
        <item x="43"/>
        <item x="21"/>
        <item x="77"/>
        <item x="19"/>
        <item x="72"/>
        <item x="82"/>
        <item x="70"/>
        <item x="39"/>
        <item x="16"/>
        <item x="62"/>
        <item x="23"/>
        <item x="45"/>
        <item x="38"/>
        <item x="84"/>
        <item x="41"/>
        <item x="9"/>
        <item x="76"/>
        <item x="51"/>
        <item x="18"/>
        <item x="27"/>
        <item x="49"/>
        <item x="1"/>
        <item x="69"/>
        <item x="12"/>
        <item x="35"/>
        <item t="default"/>
      </items>
    </pivotField>
    <pivotField axis="axisRow" showAll="0">
      <items count="11">
        <item x="6"/>
        <item x="0"/>
        <item x="8"/>
        <item x="7"/>
        <item x="4"/>
        <item x="5"/>
        <item x="9"/>
        <item x="2"/>
        <item x="3"/>
        <item x="1"/>
        <item t="default"/>
      </items>
    </pivotField>
    <pivotField axis="axisPage" showAll="0">
      <items count="5">
        <item x="1"/>
        <item x="3"/>
        <item x="0"/>
        <item x="2"/>
        <item t="default"/>
      </items>
    </pivotField>
    <pivotField axis="axisPage" showAll="0">
      <items count="4">
        <item x="2"/>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2"/>
  </rowFields>
  <rowItems count="8">
    <i>
      <x/>
    </i>
    <i>
      <x v="1"/>
    </i>
    <i>
      <x v="2"/>
    </i>
    <i>
      <x v="4"/>
    </i>
    <i>
      <x v="5"/>
    </i>
    <i>
      <x v="7"/>
    </i>
    <i>
      <x v="8"/>
    </i>
    <i t="grand">
      <x/>
    </i>
  </rowItems>
  <colItems count="1">
    <i/>
  </colItems>
  <pageFields count="2">
    <pageField fld="3" item="0" hier="-1"/>
    <pageField fld="4" item="0" hier="-1"/>
  </pageFields>
  <dataFields count="1">
    <dataField name="Sum of Total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72FF5D-80A8-4431-BF31-43695FB0C879}" name="PivotTable6"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8:J42" firstHeaderRow="0" firstDataRow="1" firstDataCol="1"/>
  <pivotFields count="16">
    <pivotField showAll="0"/>
    <pivotField numFmtId="14" showAll="0">
      <items count="88">
        <item x="58"/>
        <item x="85"/>
        <item x="46"/>
        <item x="81"/>
        <item x="6"/>
        <item x="24"/>
        <item x="54"/>
        <item x="79"/>
        <item x="65"/>
        <item x="28"/>
        <item x="57"/>
        <item x="34"/>
        <item x="50"/>
        <item x="59"/>
        <item x="36"/>
        <item x="29"/>
        <item x="83"/>
        <item x="4"/>
        <item x="56"/>
        <item x="10"/>
        <item x="44"/>
        <item x="52"/>
        <item x="11"/>
        <item x="0"/>
        <item x="60"/>
        <item x="3"/>
        <item x="7"/>
        <item x="86"/>
        <item x="14"/>
        <item x="40"/>
        <item x="15"/>
        <item x="13"/>
        <item x="80"/>
        <item x="22"/>
        <item x="66"/>
        <item x="42"/>
        <item x="30"/>
        <item x="33"/>
        <item x="31"/>
        <item x="5"/>
        <item x="32"/>
        <item x="63"/>
        <item x="20"/>
        <item x="67"/>
        <item x="55"/>
        <item x="74"/>
        <item x="73"/>
        <item x="8"/>
        <item x="78"/>
        <item x="64"/>
        <item x="26"/>
        <item x="75"/>
        <item x="47"/>
        <item x="37"/>
        <item x="71"/>
        <item x="25"/>
        <item x="17"/>
        <item x="61"/>
        <item x="53"/>
        <item x="48"/>
        <item x="68"/>
        <item x="2"/>
        <item x="43"/>
        <item x="21"/>
        <item x="77"/>
        <item x="19"/>
        <item x="72"/>
        <item x="82"/>
        <item x="70"/>
        <item x="39"/>
        <item x="16"/>
        <item x="62"/>
        <item x="23"/>
        <item x="45"/>
        <item x="38"/>
        <item x="84"/>
        <item x="41"/>
        <item x="9"/>
        <item x="76"/>
        <item x="51"/>
        <item x="18"/>
        <item x="27"/>
        <item x="49"/>
        <item x="1"/>
        <item x="69"/>
        <item x="12"/>
        <item x="35"/>
        <item t="default"/>
      </items>
    </pivotField>
    <pivotField axis="axisRow" showAll="0" measureFilter="1">
      <items count="11">
        <item x="6"/>
        <item x="0"/>
        <item x="8"/>
        <item x="7"/>
        <item x="4"/>
        <item x="5"/>
        <item x="9"/>
        <item x="2"/>
        <item x="3"/>
        <item x="1"/>
        <item t="default"/>
      </items>
    </pivotField>
    <pivotField showAll="0"/>
    <pivotField showAll="0"/>
    <pivotField showAll="0"/>
    <pivotField showAll="0"/>
    <pivotField showAll="0"/>
    <pivotField showAll="0"/>
    <pivotField dataField="1"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dataField="1" dragToRow="0" dragToCol="0" dragToPage="0" showAll="0" defaultSubtotal="0"/>
  </pivotFields>
  <rowFields count="1">
    <field x="2"/>
  </rowFields>
  <rowItems count="4">
    <i>
      <x/>
    </i>
    <i>
      <x v="2"/>
    </i>
    <i>
      <x v="5"/>
    </i>
    <i t="grand">
      <x/>
    </i>
  </rowItems>
  <colFields count="1">
    <field x="-2"/>
  </colFields>
  <colItems count="2">
    <i>
      <x/>
    </i>
    <i i="1">
      <x v="1"/>
    </i>
  </colItems>
  <dataFields count="2">
    <dataField name="Sum of Total Sales" fld="9" baseField="0" baseItem="0"/>
    <dataField name="Sum of Field1" fld="15" baseField="0" baseItem="0"/>
  </dataFields>
  <pivotTableStyleInfo name="PivotStyleLight16" showRowHeaders="1" showColHeaders="1" showRowStripes="0" showColStripes="0" showLastColumn="1"/>
  <filters count="1">
    <filter fld="2"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8440AE-811F-45E3-A21D-5B57F3A03561}" name="PivotTable5"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8:I21" firstHeaderRow="1" firstDataRow="1" firstDataCol="1"/>
  <pivotFields count="16">
    <pivotField showAll="0"/>
    <pivotField numFmtId="14" showAll="0">
      <items count="88">
        <item x="58"/>
        <item x="85"/>
        <item x="46"/>
        <item x="81"/>
        <item x="6"/>
        <item x="24"/>
        <item x="54"/>
        <item x="79"/>
        <item x="65"/>
        <item x="28"/>
        <item x="57"/>
        <item x="34"/>
        <item x="50"/>
        <item x="59"/>
        <item x="36"/>
        <item x="29"/>
        <item x="83"/>
        <item x="4"/>
        <item x="56"/>
        <item x="10"/>
        <item x="44"/>
        <item x="52"/>
        <item x="11"/>
        <item x="0"/>
        <item x="60"/>
        <item x="3"/>
        <item x="7"/>
        <item x="86"/>
        <item x="14"/>
        <item x="40"/>
        <item x="15"/>
        <item x="13"/>
        <item x="80"/>
        <item x="22"/>
        <item x="66"/>
        <item x="42"/>
        <item x="30"/>
        <item x="33"/>
        <item x="31"/>
        <item x="5"/>
        <item x="32"/>
        <item x="63"/>
        <item x="20"/>
        <item x="67"/>
        <item x="55"/>
        <item x="74"/>
        <item x="73"/>
        <item x="8"/>
        <item x="78"/>
        <item x="64"/>
        <item x="26"/>
        <item x="75"/>
        <item x="47"/>
        <item x="37"/>
        <item x="71"/>
        <item x="25"/>
        <item x="17"/>
        <item x="61"/>
        <item x="53"/>
        <item x="48"/>
        <item x="68"/>
        <item x="2"/>
        <item x="43"/>
        <item x="21"/>
        <item x="77"/>
        <item x="19"/>
        <item x="72"/>
        <item x="82"/>
        <item x="70"/>
        <item x="39"/>
        <item x="16"/>
        <item x="62"/>
        <item x="23"/>
        <item x="45"/>
        <item x="38"/>
        <item x="84"/>
        <item x="41"/>
        <item x="9"/>
        <item x="76"/>
        <item x="51"/>
        <item x="18"/>
        <item x="27"/>
        <item x="49"/>
        <item x="1"/>
        <item x="69"/>
        <item x="12"/>
        <item x="35"/>
        <item t="default"/>
      </items>
    </pivotField>
    <pivotField showAll="0"/>
    <pivotField axis="axisRow" showAll="0">
      <items count="5">
        <item h="1" x="1"/>
        <item h="1" x="3"/>
        <item h="1" x="0"/>
        <item x="2"/>
        <item t="default"/>
      </items>
    </pivotField>
    <pivotField axis="axisRow" showAll="0">
      <items count="4">
        <item h="1" x="2"/>
        <item x="0"/>
        <item h="1"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2">
    <field x="3"/>
    <field x="4"/>
  </rowFields>
  <rowItems count="3">
    <i>
      <x v="3"/>
    </i>
    <i r="1">
      <x v="1"/>
    </i>
    <i t="grand">
      <x/>
    </i>
  </rowItems>
  <colItems count="1">
    <i/>
  </colItems>
  <dataFields count="1">
    <dataField name="Sum of Total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F40DA7E-E369-448E-BFB1-A4D17B95DA22}" name="PivotTable4"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7:F117" firstHeaderRow="1" firstDataRow="1" firstDataCol="1"/>
  <pivotFields count="16">
    <pivotField showAll="0"/>
    <pivotField numFmtId="14" showAll="0">
      <items count="88">
        <item x="58"/>
        <item x="85"/>
        <item x="46"/>
        <item x="81"/>
        <item x="6"/>
        <item x="24"/>
        <item x="54"/>
        <item x="79"/>
        <item x="65"/>
        <item x="28"/>
        <item x="57"/>
        <item x="34"/>
        <item x="50"/>
        <item x="59"/>
        <item x="36"/>
        <item x="29"/>
        <item x="83"/>
        <item x="4"/>
        <item x="56"/>
        <item x="10"/>
        <item x="44"/>
        <item x="52"/>
        <item x="11"/>
        <item x="0"/>
        <item x="60"/>
        <item x="3"/>
        <item x="7"/>
        <item x="86"/>
        <item x="14"/>
        <item x="40"/>
        <item x="15"/>
        <item x="13"/>
        <item x="80"/>
        <item x="22"/>
        <item x="66"/>
        <item x="42"/>
        <item x="30"/>
        <item x="33"/>
        <item x="31"/>
        <item x="5"/>
        <item x="32"/>
        <item x="63"/>
        <item x="20"/>
        <item x="67"/>
        <item x="55"/>
        <item x="74"/>
        <item x="73"/>
        <item x="8"/>
        <item x="78"/>
        <item x="64"/>
        <item x="26"/>
        <item x="75"/>
        <item x="47"/>
        <item x="37"/>
        <item x="71"/>
        <item x="25"/>
        <item x="17"/>
        <item x="61"/>
        <item x="53"/>
        <item x="48"/>
        <item x="68"/>
        <item x="2"/>
        <item x="43"/>
        <item x="21"/>
        <item x="77"/>
        <item x="19"/>
        <item x="72"/>
        <item x="82"/>
        <item x="70"/>
        <item x="39"/>
        <item x="16"/>
        <item x="62"/>
        <item x="23"/>
        <item x="45"/>
        <item x="38"/>
        <item x="84"/>
        <item x="41"/>
        <item x="9"/>
        <item x="76"/>
        <item x="51"/>
        <item x="18"/>
        <item x="27"/>
        <item x="49"/>
        <item x="1"/>
        <item x="69"/>
        <item x="12"/>
        <item x="35"/>
        <item t="default"/>
      </items>
    </pivotField>
    <pivotField showAll="0"/>
    <pivotField showAll="0"/>
    <pivotField showAll="0"/>
    <pivotField showAll="0"/>
    <pivotField showAll="0"/>
    <pivotField showAll="0"/>
    <pivotField showAll="0"/>
    <pivotField dataField="1" showAll="0"/>
    <pivotField showAll="0"/>
    <pivotField showAll="0"/>
    <pivotField showAll="0"/>
    <pivotField axis="axisRow"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x="0"/>
        <item x="1"/>
        <item x="2"/>
        <item x="3"/>
        <item x="4"/>
        <item x="5"/>
        <item x="6"/>
        <item x="7"/>
        <item x="8"/>
        <item x="9"/>
        <item x="10"/>
        <item x="11"/>
        <item x="12"/>
        <item x="13"/>
        <item t="default"/>
      </items>
    </pivotField>
    <pivotField dragToRow="0" dragToCol="0" dragToPage="0" showAll="0" defaultSubtotal="0"/>
  </pivotFields>
  <rowFields count="2">
    <field x="14"/>
    <field x="13"/>
  </rowFields>
  <rowItems count="100">
    <i>
      <x v="1"/>
    </i>
    <i r="1">
      <x v="2"/>
    </i>
    <i r="1">
      <x v="9"/>
    </i>
    <i r="1">
      <x v="14"/>
    </i>
    <i r="1">
      <x v="15"/>
    </i>
    <i r="1">
      <x v="21"/>
    </i>
    <i r="1">
      <x v="22"/>
    </i>
    <i>
      <x v="2"/>
    </i>
    <i r="1">
      <x v="35"/>
    </i>
    <i r="1">
      <x v="41"/>
    </i>
    <i r="1">
      <x v="44"/>
    </i>
    <i r="1">
      <x v="49"/>
    </i>
    <i r="1">
      <x v="50"/>
    </i>
    <i r="1">
      <x v="51"/>
    </i>
    <i r="1">
      <x v="53"/>
    </i>
    <i r="1">
      <x v="54"/>
    </i>
    <i r="1">
      <x v="55"/>
    </i>
    <i r="1">
      <x v="59"/>
    </i>
    <i>
      <x v="3"/>
    </i>
    <i r="1">
      <x v="66"/>
    </i>
    <i r="1">
      <x v="73"/>
    </i>
    <i r="1">
      <x v="82"/>
    </i>
    <i r="1">
      <x v="89"/>
    </i>
    <i r="1">
      <x v="90"/>
    </i>
    <i>
      <x v="4"/>
    </i>
    <i r="1">
      <x v="93"/>
    </i>
    <i r="1">
      <x v="101"/>
    </i>
    <i r="1">
      <x v="104"/>
    </i>
    <i r="1">
      <x v="107"/>
    </i>
    <i r="1">
      <x v="108"/>
    </i>
    <i>
      <x v="5"/>
    </i>
    <i r="1">
      <x v="123"/>
    </i>
    <i r="1">
      <x v="130"/>
    </i>
    <i r="1">
      <x v="132"/>
    </i>
    <i r="1">
      <x v="136"/>
    </i>
    <i r="1">
      <x v="151"/>
    </i>
    <i>
      <x v="6"/>
    </i>
    <i r="1">
      <x v="153"/>
    </i>
    <i r="1">
      <x v="158"/>
    </i>
    <i r="1">
      <x v="162"/>
    </i>
    <i r="1">
      <x v="163"/>
    </i>
    <i r="1">
      <x v="168"/>
    </i>
    <i r="1">
      <x v="171"/>
    </i>
    <i r="1">
      <x v="176"/>
    </i>
    <i>
      <x v="7"/>
    </i>
    <i r="1">
      <x v="189"/>
    </i>
    <i r="1">
      <x v="190"/>
    </i>
    <i r="1">
      <x v="191"/>
    </i>
    <i r="1">
      <x v="192"/>
    </i>
    <i r="1">
      <x v="193"/>
    </i>
    <i r="1">
      <x v="203"/>
    </i>
    <i r="1">
      <x v="207"/>
    </i>
    <i r="1">
      <x v="209"/>
    </i>
    <i>
      <x v="8"/>
    </i>
    <i r="1">
      <x v="214"/>
    </i>
    <i r="1">
      <x v="216"/>
    </i>
    <i r="1">
      <x v="218"/>
    </i>
    <i r="1">
      <x v="219"/>
    </i>
    <i r="1">
      <x v="237"/>
    </i>
    <i r="1">
      <x v="238"/>
    </i>
    <i r="1">
      <x v="243"/>
    </i>
    <i>
      <x v="9"/>
    </i>
    <i r="1">
      <x v="245"/>
    </i>
    <i r="1">
      <x v="253"/>
    </i>
    <i r="1">
      <x v="254"/>
    </i>
    <i r="1">
      <x v="259"/>
    </i>
    <i r="1">
      <x v="261"/>
    </i>
    <i r="1">
      <x v="265"/>
    </i>
    <i r="1">
      <x v="266"/>
    </i>
    <i r="1">
      <x v="271"/>
    </i>
    <i r="1">
      <x v="272"/>
    </i>
    <i>
      <x v="10"/>
    </i>
    <i r="1">
      <x v="275"/>
    </i>
    <i r="1">
      <x v="278"/>
    </i>
    <i r="1">
      <x v="281"/>
    </i>
    <i r="1">
      <x v="295"/>
    </i>
    <i r="1">
      <x v="297"/>
    </i>
    <i r="1">
      <x v="302"/>
    </i>
    <i r="1">
      <x v="305"/>
    </i>
    <i>
      <x v="11"/>
    </i>
    <i r="1">
      <x v="308"/>
    </i>
    <i r="1">
      <x v="310"/>
    </i>
    <i r="1">
      <x v="311"/>
    </i>
    <i r="1">
      <x v="315"/>
    </i>
    <i r="1">
      <x v="317"/>
    </i>
    <i r="1">
      <x v="321"/>
    </i>
    <i r="1">
      <x v="328"/>
    </i>
    <i r="1">
      <x v="330"/>
    </i>
    <i r="1">
      <x v="332"/>
    </i>
    <i>
      <x v="12"/>
    </i>
    <i r="1">
      <x v="339"/>
    </i>
    <i r="1">
      <x v="341"/>
    </i>
    <i r="1">
      <x v="345"/>
    </i>
    <i r="1">
      <x v="346"/>
    </i>
    <i r="1">
      <x v="347"/>
    </i>
    <i r="1">
      <x v="350"/>
    </i>
    <i r="1">
      <x v="352"/>
    </i>
    <i r="1">
      <x v="361"/>
    </i>
    <i r="1">
      <x v="365"/>
    </i>
    <i t="grand">
      <x/>
    </i>
  </rowItems>
  <colItems count="1">
    <i/>
  </colItems>
  <dataFields count="1">
    <dataField name="Sum of Total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9187BD2-B00C-4916-B92E-F1B5B31BB7F3}" name="PivotTable3"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L15" firstHeaderRow="1" firstDataRow="2" firstDataCol="1"/>
  <pivotFields count="16">
    <pivotField showAll="0"/>
    <pivotField numFmtId="14" showAll="0">
      <items count="88">
        <item x="58"/>
        <item x="85"/>
        <item x="46"/>
        <item x="81"/>
        <item x="6"/>
        <item x="24"/>
        <item x="54"/>
        <item x="79"/>
        <item x="65"/>
        <item x="28"/>
        <item x="57"/>
        <item x="34"/>
        <item x="50"/>
        <item x="59"/>
        <item x="36"/>
        <item x="29"/>
        <item x="83"/>
        <item x="4"/>
        <item x="56"/>
        <item x="10"/>
        <item x="44"/>
        <item x="52"/>
        <item x="11"/>
        <item x="0"/>
        <item x="60"/>
        <item x="3"/>
        <item x="7"/>
        <item x="86"/>
        <item x="14"/>
        <item x="40"/>
        <item x="15"/>
        <item x="13"/>
        <item x="80"/>
        <item x="22"/>
        <item x="66"/>
        <item x="42"/>
        <item x="30"/>
        <item x="33"/>
        <item x="31"/>
        <item x="5"/>
        <item x="32"/>
        <item x="63"/>
        <item x="20"/>
        <item x="67"/>
        <item x="55"/>
        <item x="74"/>
        <item x="73"/>
        <item x="8"/>
        <item x="78"/>
        <item x="64"/>
        <item x="26"/>
        <item x="75"/>
        <item x="47"/>
        <item x="37"/>
        <item x="71"/>
        <item x="25"/>
        <item x="17"/>
        <item x="61"/>
        <item x="53"/>
        <item x="48"/>
        <item x="68"/>
        <item x="2"/>
        <item x="43"/>
        <item x="21"/>
        <item x="77"/>
        <item x="19"/>
        <item x="72"/>
        <item x="82"/>
        <item x="70"/>
        <item x="39"/>
        <item x="16"/>
        <item x="62"/>
        <item x="23"/>
        <item x="45"/>
        <item x="38"/>
        <item x="84"/>
        <item x="41"/>
        <item x="9"/>
        <item x="76"/>
        <item x="51"/>
        <item x="18"/>
        <item x="27"/>
        <item x="49"/>
        <item x="1"/>
        <item x="69"/>
        <item x="12"/>
        <item x="35"/>
        <item t="default"/>
      </items>
    </pivotField>
    <pivotField axis="axisRow" showAll="0">
      <items count="11">
        <item x="6"/>
        <item x="0"/>
        <item x="8"/>
        <item x="7"/>
        <item x="4"/>
        <item x="5"/>
        <item x="9"/>
        <item x="2"/>
        <item x="3"/>
        <item x="1"/>
        <item t="default"/>
      </items>
    </pivotField>
    <pivotField axis="axisCol" showAll="0">
      <items count="5">
        <item x="1"/>
        <item x="3"/>
        <item x="0"/>
        <item x="2"/>
        <item t="default"/>
      </items>
    </pivotField>
    <pivotField showAll="0"/>
    <pivotField showAll="0"/>
    <pivotField showAll="0"/>
    <pivotField showAll="0"/>
    <pivotField showAll="0"/>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2"/>
  </rowFields>
  <rowItems count="11">
    <i>
      <x/>
    </i>
    <i>
      <x v="1"/>
    </i>
    <i>
      <x v="2"/>
    </i>
    <i>
      <x v="3"/>
    </i>
    <i>
      <x v="4"/>
    </i>
    <i>
      <x v="5"/>
    </i>
    <i>
      <x v="6"/>
    </i>
    <i>
      <x v="7"/>
    </i>
    <i>
      <x v="8"/>
    </i>
    <i>
      <x v="9"/>
    </i>
    <i t="grand">
      <x/>
    </i>
  </rowItems>
  <colFields count="1">
    <field x="3"/>
  </colFields>
  <colItems count="5">
    <i>
      <x/>
    </i>
    <i>
      <x v="1"/>
    </i>
    <i>
      <x v="2"/>
    </i>
    <i>
      <x v="3"/>
    </i>
    <i t="grand">
      <x/>
    </i>
  </colItems>
  <dataFields count="1">
    <dataField name="Sum of Total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A4DE6C5-A1D9-484B-8AC5-2E4E0762B840}"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14" firstHeaderRow="1" firstDataRow="1" firstDataCol="1"/>
  <pivotFields count="12">
    <pivotField showAll="0"/>
    <pivotField numFmtId="14" showAll="0"/>
    <pivotField axis="axisRow" showAll="0">
      <items count="11">
        <item x="6"/>
        <item x="0"/>
        <item x="8"/>
        <item x="7"/>
        <item x="4"/>
        <item x="5"/>
        <item x="9"/>
        <item x="2"/>
        <item x="3"/>
        <item x="1"/>
        <item t="default"/>
      </items>
    </pivotField>
    <pivotField showAll="0"/>
    <pivotField showAll="0"/>
    <pivotField showAll="0"/>
    <pivotField showAll="0"/>
    <pivotField showAll="0"/>
    <pivotField showAll="0"/>
    <pivotField dataField="1" showAll="0"/>
    <pivotField showAll="0"/>
    <pivotField showAll="0"/>
  </pivotFields>
  <rowFields count="1">
    <field x="2"/>
  </rowFields>
  <rowItems count="11">
    <i>
      <x/>
    </i>
    <i>
      <x v="1"/>
    </i>
    <i>
      <x v="2"/>
    </i>
    <i>
      <x v="3"/>
    </i>
    <i>
      <x v="4"/>
    </i>
    <i>
      <x v="5"/>
    </i>
    <i>
      <x v="6"/>
    </i>
    <i>
      <x v="7"/>
    </i>
    <i>
      <x v="8"/>
    </i>
    <i>
      <x v="9"/>
    </i>
    <i t="grand">
      <x/>
    </i>
  </rowItems>
  <colItems count="1">
    <i/>
  </colItems>
  <dataFields count="1">
    <dataField name="Sum of Total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0B86DD7-D746-4922-9CA2-DC6F34F5B77E}"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4" firstHeaderRow="1" firstDataRow="1" firstDataCol="1"/>
  <pivotFields count="12">
    <pivotField axis="axisRow"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umFmtId="14" showAll="0"/>
    <pivotField showAll="0"/>
    <pivotField showAll="0"/>
    <pivotField showAll="0"/>
    <pivotField showAll="0"/>
    <pivotField showAll="0"/>
    <pivotField showAll="0"/>
    <pivotField showAll="0"/>
    <pivotField dataField="1" showAll="0"/>
    <pivotField showAll="0"/>
    <pivotField showAll="0"/>
  </pivotFields>
  <rowFields count="1">
    <field x="0"/>
  </rowFields>
  <rowItems count="1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t="grand">
      <x/>
    </i>
  </rowItems>
  <colItems count="1">
    <i/>
  </colItems>
  <dataFields count="1">
    <dataField name="Sum of Total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7A43828-CBAC-4C11-A8B4-69A673AB88A5}" sourceName="Region">
  <pivotTables>
    <pivotTable tabId="3" name="PivotTable5"/>
  </pivotTables>
  <data>
    <tabular pivotCacheId="1157967292">
      <items count="4">
        <i x="1"/>
        <i x="3"/>
        <i x="0"/>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E38877C-B59D-4673-8FD0-0FB840403C66}" sourceName="Category">
  <pivotTables>
    <pivotTable tabId="3" name="PivotTable5"/>
  </pivotTables>
  <data>
    <tabular pivotCacheId="1157967292">
      <items count="3">
        <i x="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0C14EDF-7273-4FB1-B84E-897A9A0179E6}" cache="Slicer_Region" caption="Region" rowHeight="241300"/>
  <slicer name="Category" xr10:uid="{05B6CB3D-5834-41E3-83DB-29143EB36DF5}" cache="Slicer_Category" caption="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EDA8E-B003-4BF1-81A0-5CE4A071F3D3}">
  <dimension ref="A3:L117"/>
  <sheetViews>
    <sheetView tabSelected="1" topLeftCell="C10" workbookViewId="0">
      <selection activeCell="I48" sqref="I48"/>
    </sheetView>
  </sheetViews>
  <sheetFormatPr defaultRowHeight="14.5" x14ac:dyDescent="0.35"/>
  <cols>
    <col min="1" max="1" width="12.36328125" bestFit="1" customWidth="1"/>
    <col min="2" max="3" width="16.08984375" bestFit="1" customWidth="1"/>
    <col min="4" max="4" width="12.36328125" bestFit="1" customWidth="1"/>
    <col min="5" max="7" width="16.08984375" bestFit="1" customWidth="1"/>
    <col min="8" max="9" width="12.36328125" bestFit="1" customWidth="1"/>
    <col min="10" max="10" width="16.08984375" bestFit="1" customWidth="1"/>
    <col min="11" max="11" width="9.81640625" bestFit="1" customWidth="1"/>
    <col min="12" max="12" width="10.7265625" bestFit="1" customWidth="1"/>
  </cols>
  <sheetData>
    <row r="3" spans="1:12" x14ac:dyDescent="0.35">
      <c r="A3" s="4" t="s">
        <v>142</v>
      </c>
      <c r="B3" t="s">
        <v>144</v>
      </c>
      <c r="D3" s="4" t="s">
        <v>142</v>
      </c>
      <c r="E3" t="s">
        <v>144</v>
      </c>
      <c r="G3" s="4" t="s">
        <v>144</v>
      </c>
      <c r="H3" s="4" t="s">
        <v>145</v>
      </c>
    </row>
    <row r="4" spans="1:12" x14ac:dyDescent="0.35">
      <c r="A4" s="5" t="s">
        <v>12</v>
      </c>
      <c r="B4" s="6">
        <v>3896.18</v>
      </c>
      <c r="D4" s="5" t="s">
        <v>44</v>
      </c>
      <c r="E4" s="6">
        <v>70275.61</v>
      </c>
      <c r="G4" s="4" t="s">
        <v>142</v>
      </c>
      <c r="H4" t="s">
        <v>20</v>
      </c>
      <c r="I4" t="s">
        <v>42</v>
      </c>
      <c r="J4" t="s">
        <v>14</v>
      </c>
      <c r="K4" t="s">
        <v>39</v>
      </c>
      <c r="L4" t="s">
        <v>143</v>
      </c>
    </row>
    <row r="5" spans="1:12" x14ac:dyDescent="0.35">
      <c r="A5" s="5" t="s">
        <v>18</v>
      </c>
      <c r="B5" s="6">
        <v>10204.69</v>
      </c>
      <c r="D5" s="5" t="s">
        <v>13</v>
      </c>
      <c r="E5" s="6">
        <v>51509.52</v>
      </c>
      <c r="G5" s="5" t="s">
        <v>44</v>
      </c>
      <c r="H5" s="6">
        <v>22321.85</v>
      </c>
      <c r="I5" s="6">
        <v>17105.400000000001</v>
      </c>
      <c r="J5" s="6">
        <v>16727.5</v>
      </c>
      <c r="K5" s="6">
        <v>14120.86</v>
      </c>
      <c r="L5" s="6">
        <v>70275.61</v>
      </c>
    </row>
    <row r="6" spans="1:12" x14ac:dyDescent="0.35">
      <c r="A6" s="5" t="s">
        <v>24</v>
      </c>
      <c r="B6" s="6">
        <v>4478.1899999999996</v>
      </c>
      <c r="D6" s="5" t="s">
        <v>59</v>
      </c>
      <c r="E6" s="6">
        <v>79934.310000000012</v>
      </c>
      <c r="G6" s="5" t="s">
        <v>13</v>
      </c>
      <c r="H6" s="6">
        <v>17149.39</v>
      </c>
      <c r="I6" s="6">
        <v>2600.9299999999998</v>
      </c>
      <c r="J6" s="6">
        <v>14908.52</v>
      </c>
      <c r="K6" s="6">
        <v>16850.68</v>
      </c>
      <c r="L6" s="6">
        <v>51509.52</v>
      </c>
    </row>
    <row r="7" spans="1:12" x14ac:dyDescent="0.35">
      <c r="A7" s="5" t="s">
        <v>27</v>
      </c>
      <c r="B7" s="6">
        <v>5248.92</v>
      </c>
      <c r="D7" s="5" t="s">
        <v>51</v>
      </c>
      <c r="E7" s="6">
        <v>15214.53</v>
      </c>
      <c r="G7" s="5" t="s">
        <v>59</v>
      </c>
      <c r="H7" s="6">
        <v>4557.87</v>
      </c>
      <c r="I7" s="6">
        <v>32075.27</v>
      </c>
      <c r="J7" s="6">
        <v>18627.189999999999</v>
      </c>
      <c r="K7" s="6">
        <v>24673.98</v>
      </c>
      <c r="L7" s="6">
        <v>79934.31</v>
      </c>
    </row>
    <row r="8" spans="1:12" x14ac:dyDescent="0.35">
      <c r="A8" s="5" t="s">
        <v>31</v>
      </c>
      <c r="B8" s="6">
        <v>5617.94</v>
      </c>
      <c r="D8" s="5" t="s">
        <v>36</v>
      </c>
      <c r="E8" s="6">
        <v>30250.13</v>
      </c>
      <c r="G8" s="5" t="s">
        <v>51</v>
      </c>
      <c r="H8" s="6">
        <v>7918.02</v>
      </c>
      <c r="I8" s="6"/>
      <c r="J8" s="6">
        <v>2149.91</v>
      </c>
      <c r="K8" s="6">
        <v>5146.6000000000004</v>
      </c>
      <c r="L8" s="6">
        <v>15214.53</v>
      </c>
    </row>
    <row r="9" spans="1:12" x14ac:dyDescent="0.35">
      <c r="A9" s="5" t="s">
        <v>32</v>
      </c>
      <c r="B9" s="6">
        <v>6809.12</v>
      </c>
      <c r="D9" s="5" t="s">
        <v>38</v>
      </c>
      <c r="E9" s="6">
        <v>64299.18</v>
      </c>
      <c r="G9" s="5" t="s">
        <v>36</v>
      </c>
      <c r="H9" s="6">
        <v>10559.45</v>
      </c>
      <c r="I9" s="6"/>
      <c r="J9" s="6">
        <v>7462.04</v>
      </c>
      <c r="K9" s="6">
        <v>12228.64</v>
      </c>
      <c r="L9" s="6">
        <v>30250.13</v>
      </c>
    </row>
    <row r="10" spans="1:12" x14ac:dyDescent="0.35">
      <c r="A10" s="5" t="s">
        <v>35</v>
      </c>
      <c r="B10" s="6">
        <v>7462.04</v>
      </c>
      <c r="D10" s="5" t="s">
        <v>90</v>
      </c>
      <c r="E10" s="6">
        <v>27597.87</v>
      </c>
      <c r="G10" s="5" t="s">
        <v>38</v>
      </c>
      <c r="H10" s="6">
        <v>21575.109999999997</v>
      </c>
      <c r="I10" s="6">
        <v>17827.64</v>
      </c>
      <c r="J10" s="6">
        <v>233.71</v>
      </c>
      <c r="K10" s="6">
        <v>24662.720000000001</v>
      </c>
      <c r="L10" s="6">
        <v>64299.18</v>
      </c>
    </row>
    <row r="11" spans="1:12" x14ac:dyDescent="0.35">
      <c r="A11" s="5" t="s">
        <v>37</v>
      </c>
      <c r="B11" s="6">
        <v>12618.01</v>
      </c>
      <c r="D11" s="5" t="s">
        <v>28</v>
      </c>
      <c r="E11" s="6">
        <v>59508.799999999996</v>
      </c>
      <c r="G11" s="5" t="s">
        <v>90</v>
      </c>
      <c r="H11" s="6">
        <v>4876</v>
      </c>
      <c r="I11" s="6">
        <v>20581.189999999999</v>
      </c>
      <c r="J11" s="6"/>
      <c r="K11" s="6">
        <v>2140.6799999999998</v>
      </c>
      <c r="L11" s="6">
        <v>27597.87</v>
      </c>
    </row>
    <row r="12" spans="1:12" x14ac:dyDescent="0.35">
      <c r="A12" s="5" t="s">
        <v>41</v>
      </c>
      <c r="B12" s="6">
        <v>2600.9299999999998</v>
      </c>
      <c r="D12" s="5" t="s">
        <v>33</v>
      </c>
      <c r="E12" s="6">
        <v>57207.4</v>
      </c>
      <c r="G12" s="5" t="s">
        <v>28</v>
      </c>
      <c r="H12" s="6">
        <v>31642.61</v>
      </c>
      <c r="I12" s="6">
        <v>2306.81</v>
      </c>
      <c r="J12" s="6">
        <v>15844.669999999998</v>
      </c>
      <c r="K12" s="6">
        <v>9714.7099999999991</v>
      </c>
      <c r="L12" s="6">
        <v>59508.799999999996</v>
      </c>
    </row>
    <row r="13" spans="1:12" x14ac:dyDescent="0.35">
      <c r="A13" s="5" t="s">
        <v>43</v>
      </c>
      <c r="B13" s="6">
        <v>3093.91</v>
      </c>
      <c r="D13" s="5" t="s">
        <v>19</v>
      </c>
      <c r="E13" s="6">
        <v>35277.78</v>
      </c>
      <c r="G13" s="5" t="s">
        <v>33</v>
      </c>
      <c r="H13" s="6">
        <v>24647.840000000004</v>
      </c>
      <c r="I13" s="6">
        <v>12572.260000000002</v>
      </c>
      <c r="J13" s="6">
        <v>19146.86</v>
      </c>
      <c r="K13" s="6">
        <v>840.44</v>
      </c>
      <c r="L13" s="6">
        <v>57207.400000000009</v>
      </c>
    </row>
    <row r="14" spans="1:12" x14ac:dyDescent="0.35">
      <c r="A14" s="5" t="s">
        <v>46</v>
      </c>
      <c r="B14" s="6">
        <v>2325.3000000000002</v>
      </c>
      <c r="D14" s="5" t="s">
        <v>143</v>
      </c>
      <c r="E14" s="6">
        <v>491075.13</v>
      </c>
      <c r="G14" s="5" t="s">
        <v>19</v>
      </c>
      <c r="H14" s="6">
        <v>11218.630000000001</v>
      </c>
      <c r="I14" s="6"/>
      <c r="J14" s="6">
        <v>4349.3100000000004</v>
      </c>
      <c r="K14" s="6">
        <v>19709.84</v>
      </c>
      <c r="L14" s="6">
        <v>35277.78</v>
      </c>
    </row>
    <row r="15" spans="1:12" x14ac:dyDescent="0.35">
      <c r="A15" s="5" t="s">
        <v>47</v>
      </c>
      <c r="B15" s="6">
        <v>976.78</v>
      </c>
      <c r="G15" s="5" t="s">
        <v>143</v>
      </c>
      <c r="H15" s="6">
        <v>156466.77000000002</v>
      </c>
      <c r="I15" s="6">
        <v>105069.5</v>
      </c>
      <c r="J15" s="6">
        <v>99449.709999999992</v>
      </c>
      <c r="K15" s="6">
        <v>130089.15</v>
      </c>
      <c r="L15" s="6">
        <v>491075.13</v>
      </c>
    </row>
    <row r="16" spans="1:12" x14ac:dyDescent="0.35">
      <c r="A16" s="5" t="s">
        <v>49</v>
      </c>
      <c r="B16" s="6">
        <v>8675.4599999999991</v>
      </c>
    </row>
    <row r="17" spans="1:9" x14ac:dyDescent="0.35">
      <c r="A17" s="5" t="s">
        <v>50</v>
      </c>
      <c r="B17" s="6">
        <v>5146.6000000000004</v>
      </c>
      <c r="E17" s="4" t="s">
        <v>142</v>
      </c>
      <c r="F17" t="s">
        <v>144</v>
      </c>
    </row>
    <row r="18" spans="1:9" x14ac:dyDescent="0.35">
      <c r="A18" s="5" t="s">
        <v>53</v>
      </c>
      <c r="B18" s="6">
        <v>473.46</v>
      </c>
      <c r="E18" s="5" t="s">
        <v>147</v>
      </c>
      <c r="F18" s="6">
        <v>47322.35</v>
      </c>
      <c r="H18" s="4" t="s">
        <v>142</v>
      </c>
      <c r="I18" t="s">
        <v>144</v>
      </c>
    </row>
    <row r="19" spans="1:9" x14ac:dyDescent="0.35">
      <c r="A19" s="5" t="s">
        <v>54</v>
      </c>
      <c r="B19" s="6">
        <v>6344.46</v>
      </c>
      <c r="E19" s="7" t="s">
        <v>159</v>
      </c>
      <c r="F19" s="6">
        <v>12712.73</v>
      </c>
      <c r="H19" s="5" t="s">
        <v>39</v>
      </c>
      <c r="I19" s="6">
        <v>48976.52</v>
      </c>
    </row>
    <row r="20" spans="1:9" x14ac:dyDescent="0.35">
      <c r="A20" s="5" t="s">
        <v>56</v>
      </c>
      <c r="B20" s="6">
        <v>1522.6</v>
      </c>
      <c r="E20" s="7" t="s">
        <v>160</v>
      </c>
      <c r="F20" s="6">
        <v>11321.09</v>
      </c>
      <c r="H20" s="7" t="s">
        <v>15</v>
      </c>
      <c r="I20" s="6">
        <v>48976.52</v>
      </c>
    </row>
    <row r="21" spans="1:9" x14ac:dyDescent="0.35">
      <c r="A21" s="5" t="s">
        <v>57</v>
      </c>
      <c r="B21" s="6">
        <v>8148.57</v>
      </c>
      <c r="E21" s="7" t="s">
        <v>161</v>
      </c>
      <c r="F21" s="6">
        <v>8872.99</v>
      </c>
      <c r="H21" s="5" t="s">
        <v>143</v>
      </c>
      <c r="I21" s="6">
        <v>48976.52</v>
      </c>
    </row>
    <row r="22" spans="1:9" x14ac:dyDescent="0.35">
      <c r="A22" s="5" t="s">
        <v>58</v>
      </c>
      <c r="B22" s="6">
        <v>12149.99</v>
      </c>
      <c r="E22" s="7" t="s">
        <v>162</v>
      </c>
      <c r="F22" s="6">
        <v>936.75</v>
      </c>
    </row>
    <row r="23" spans="1:9" x14ac:dyDescent="0.35">
      <c r="A23" s="5" t="s">
        <v>60</v>
      </c>
      <c r="B23" s="6">
        <v>9796.7000000000007</v>
      </c>
      <c r="E23" s="7" t="s">
        <v>163</v>
      </c>
      <c r="F23" s="6">
        <v>8474.08</v>
      </c>
    </row>
    <row r="24" spans="1:9" x14ac:dyDescent="0.35">
      <c r="A24" s="5" t="s">
        <v>61</v>
      </c>
      <c r="B24" s="6">
        <v>3322.07</v>
      </c>
      <c r="E24" s="7" t="s">
        <v>164</v>
      </c>
      <c r="F24" s="6">
        <v>5004.71</v>
      </c>
    </row>
    <row r="25" spans="1:9" x14ac:dyDescent="0.35">
      <c r="A25" s="5" t="s">
        <v>62</v>
      </c>
      <c r="B25" s="6">
        <v>582.52</v>
      </c>
      <c r="E25" s="5" t="s">
        <v>148</v>
      </c>
      <c r="F25" s="6">
        <v>62559.840000000004</v>
      </c>
    </row>
    <row r="26" spans="1:9" x14ac:dyDescent="0.35">
      <c r="A26" s="5" t="s">
        <v>63</v>
      </c>
      <c r="B26" s="6">
        <v>10583.44</v>
      </c>
      <c r="E26" s="7" t="s">
        <v>165</v>
      </c>
      <c r="F26" s="6">
        <v>2613.0700000000002</v>
      </c>
    </row>
    <row r="27" spans="1:9" x14ac:dyDescent="0.35">
      <c r="A27" s="5" t="s">
        <v>64</v>
      </c>
      <c r="B27" s="6">
        <v>376.77</v>
      </c>
      <c r="E27" s="7" t="s">
        <v>166</v>
      </c>
      <c r="F27" s="6">
        <v>9889.86</v>
      </c>
    </row>
    <row r="28" spans="1:9" x14ac:dyDescent="0.35">
      <c r="A28" s="5" t="s">
        <v>65</v>
      </c>
      <c r="B28" s="6">
        <v>7559.21</v>
      </c>
      <c r="E28" s="7" t="s">
        <v>167</v>
      </c>
      <c r="F28" s="6">
        <v>8790.6</v>
      </c>
    </row>
    <row r="29" spans="1:9" x14ac:dyDescent="0.35">
      <c r="A29" s="5" t="s">
        <v>66</v>
      </c>
      <c r="B29" s="6">
        <v>5004.71</v>
      </c>
      <c r="E29" s="7" t="s">
        <v>168</v>
      </c>
      <c r="F29" s="6">
        <v>5896.13</v>
      </c>
    </row>
    <row r="30" spans="1:9" x14ac:dyDescent="0.35">
      <c r="A30" s="5" t="s">
        <v>67</v>
      </c>
      <c r="B30" s="6">
        <v>2200.0500000000002</v>
      </c>
      <c r="E30" s="7" t="s">
        <v>169</v>
      </c>
      <c r="F30" s="6">
        <v>4810.63</v>
      </c>
    </row>
    <row r="31" spans="1:9" x14ac:dyDescent="0.35">
      <c r="A31" s="5" t="s">
        <v>68</v>
      </c>
      <c r="B31" s="6">
        <v>2306.81</v>
      </c>
      <c r="E31" s="7" t="s">
        <v>170</v>
      </c>
      <c r="F31" s="6">
        <v>6997.11</v>
      </c>
    </row>
    <row r="32" spans="1:9" x14ac:dyDescent="0.35">
      <c r="A32" s="5" t="s">
        <v>69</v>
      </c>
      <c r="B32" s="6">
        <v>3758.56</v>
      </c>
      <c r="E32" s="7" t="s">
        <v>171</v>
      </c>
      <c r="F32" s="6">
        <v>17411.53</v>
      </c>
    </row>
    <row r="33" spans="1:10" x14ac:dyDescent="0.35">
      <c r="A33" s="5" t="s">
        <v>70</v>
      </c>
      <c r="B33" s="6">
        <v>5896.13</v>
      </c>
      <c r="E33" s="7" t="s">
        <v>172</v>
      </c>
      <c r="F33" s="6">
        <v>3951.65</v>
      </c>
    </row>
    <row r="34" spans="1:10" x14ac:dyDescent="0.35">
      <c r="A34" s="5" t="s">
        <v>71</v>
      </c>
      <c r="B34" s="6">
        <v>1013.94</v>
      </c>
      <c r="E34" s="7" t="s">
        <v>173</v>
      </c>
      <c r="F34" s="6">
        <v>1185.32</v>
      </c>
    </row>
    <row r="35" spans="1:10" x14ac:dyDescent="0.35">
      <c r="A35" s="5" t="s">
        <v>72</v>
      </c>
      <c r="B35" s="6">
        <v>7335.5</v>
      </c>
      <c r="E35" s="7" t="s">
        <v>174</v>
      </c>
      <c r="F35" s="6">
        <v>1013.94</v>
      </c>
    </row>
    <row r="36" spans="1:10" x14ac:dyDescent="0.35">
      <c r="A36" s="5" t="s">
        <v>73</v>
      </c>
      <c r="B36" s="6">
        <v>1422.01</v>
      </c>
      <c r="E36" s="5" t="s">
        <v>149</v>
      </c>
      <c r="F36" s="6">
        <v>19909.03</v>
      </c>
    </row>
    <row r="37" spans="1:10" x14ac:dyDescent="0.35">
      <c r="A37" s="5" t="s">
        <v>74</v>
      </c>
      <c r="B37" s="6">
        <v>3173.66</v>
      </c>
      <c r="E37" s="7" t="s">
        <v>175</v>
      </c>
      <c r="F37" s="6">
        <v>1458.92</v>
      </c>
    </row>
    <row r="38" spans="1:10" x14ac:dyDescent="0.35">
      <c r="A38" s="5" t="s">
        <v>75</v>
      </c>
      <c r="B38" s="6">
        <v>4349.3100000000004</v>
      </c>
      <c r="E38" s="7" t="s">
        <v>176</v>
      </c>
      <c r="F38" s="6">
        <v>5617.94</v>
      </c>
      <c r="H38" s="4" t="s">
        <v>142</v>
      </c>
      <c r="I38" t="s">
        <v>144</v>
      </c>
      <c r="J38" t="s">
        <v>246</v>
      </c>
    </row>
    <row r="39" spans="1:10" x14ac:dyDescent="0.35">
      <c r="A39" s="5" t="s">
        <v>76</v>
      </c>
      <c r="B39" s="6">
        <v>5437.1</v>
      </c>
      <c r="E39" s="7" t="s">
        <v>177</v>
      </c>
      <c r="F39" s="6">
        <v>9714.7099999999991</v>
      </c>
      <c r="H39" s="5" t="s">
        <v>44</v>
      </c>
      <c r="I39" s="6">
        <v>70275.61</v>
      </c>
      <c r="J39" s="6">
        <v>7027.5610000000006</v>
      </c>
    </row>
    <row r="40" spans="1:10" x14ac:dyDescent="0.35">
      <c r="A40" s="5" t="s">
        <v>77</v>
      </c>
      <c r="B40" s="6">
        <v>6997.11</v>
      </c>
      <c r="E40" s="7" t="s">
        <v>178</v>
      </c>
      <c r="F40" s="6">
        <v>976.78</v>
      </c>
      <c r="H40" s="5" t="s">
        <v>59</v>
      </c>
      <c r="I40" s="6">
        <v>79934.310000000012</v>
      </c>
      <c r="J40" s="6">
        <v>7993.4310000000014</v>
      </c>
    </row>
    <row r="41" spans="1:10" x14ac:dyDescent="0.35">
      <c r="A41" s="5" t="s">
        <v>78</v>
      </c>
      <c r="B41" s="6">
        <v>1267.8900000000001</v>
      </c>
      <c r="E41" s="7" t="s">
        <v>179</v>
      </c>
      <c r="F41" s="6">
        <v>2140.6799999999998</v>
      </c>
      <c r="H41" s="5" t="s">
        <v>38</v>
      </c>
      <c r="I41" s="6">
        <v>64299.18</v>
      </c>
      <c r="J41" s="6">
        <v>6429.9180000000006</v>
      </c>
    </row>
    <row r="42" spans="1:10" x14ac:dyDescent="0.35">
      <c r="A42" s="5" t="s">
        <v>79</v>
      </c>
      <c r="B42" s="6">
        <v>1185.32</v>
      </c>
      <c r="E42" s="5" t="s">
        <v>150</v>
      </c>
      <c r="F42" s="6">
        <v>44310.169999999991</v>
      </c>
      <c r="H42" s="5" t="s">
        <v>143</v>
      </c>
      <c r="I42" s="6">
        <v>214509.1</v>
      </c>
      <c r="J42" s="6">
        <v>21450.910000000003</v>
      </c>
    </row>
    <row r="43" spans="1:10" x14ac:dyDescent="0.35">
      <c r="A43" s="5" t="s">
        <v>80</v>
      </c>
      <c r="B43" s="6">
        <v>1373.07</v>
      </c>
      <c r="E43" s="7" t="s">
        <v>180</v>
      </c>
      <c r="F43" s="6">
        <v>12263.42</v>
      </c>
    </row>
    <row r="44" spans="1:10" x14ac:dyDescent="0.35">
      <c r="A44" s="5" t="s">
        <v>81</v>
      </c>
      <c r="B44" s="6">
        <v>3167.88</v>
      </c>
      <c r="E44" s="7" t="s">
        <v>181</v>
      </c>
      <c r="F44" s="6">
        <v>8675.4599999999991</v>
      </c>
      <c r="I44" s="4" t="s">
        <v>3</v>
      </c>
      <c r="J44" t="s">
        <v>20</v>
      </c>
    </row>
    <row r="45" spans="1:10" x14ac:dyDescent="0.35">
      <c r="A45" s="5" t="s">
        <v>82</v>
      </c>
      <c r="B45" s="6">
        <v>1572.91</v>
      </c>
      <c r="E45" s="7" t="s">
        <v>182</v>
      </c>
      <c r="F45" s="6">
        <v>16514.189999999999</v>
      </c>
      <c r="I45" s="4" t="s">
        <v>4</v>
      </c>
      <c r="J45" t="s">
        <v>25</v>
      </c>
    </row>
    <row r="46" spans="1:10" x14ac:dyDescent="0.35">
      <c r="A46" s="5" t="s">
        <v>83</v>
      </c>
      <c r="B46" s="6">
        <v>4231</v>
      </c>
      <c r="E46" s="7" t="s">
        <v>183</v>
      </c>
      <c r="F46" s="6">
        <v>1608.18</v>
      </c>
    </row>
    <row r="47" spans="1:10" x14ac:dyDescent="0.35">
      <c r="A47" s="5" t="s">
        <v>84</v>
      </c>
      <c r="B47" s="6">
        <v>330.66</v>
      </c>
      <c r="E47" s="7" t="s">
        <v>184</v>
      </c>
      <c r="F47" s="6">
        <v>5248.92</v>
      </c>
      <c r="I47" s="4" t="s">
        <v>142</v>
      </c>
      <c r="J47" t="s">
        <v>144</v>
      </c>
    </row>
    <row r="48" spans="1:10" x14ac:dyDescent="0.35">
      <c r="A48" s="5" t="s">
        <v>85</v>
      </c>
      <c r="B48" s="6">
        <v>1012.04</v>
      </c>
      <c r="E48" s="5" t="s">
        <v>151</v>
      </c>
      <c r="F48" s="6">
        <v>22554.239999999998</v>
      </c>
      <c r="I48" s="5" t="s">
        <v>44</v>
      </c>
      <c r="J48" s="6">
        <v>11321.09</v>
      </c>
    </row>
    <row r="49" spans="1:10" x14ac:dyDescent="0.35">
      <c r="A49" s="5" t="s">
        <v>86</v>
      </c>
      <c r="B49" s="6">
        <v>8238.2099999999991</v>
      </c>
      <c r="E49" s="7" t="s">
        <v>185</v>
      </c>
      <c r="F49" s="6">
        <v>2600.9299999999998</v>
      </c>
      <c r="I49" s="5" t="s">
        <v>13</v>
      </c>
      <c r="J49" s="6">
        <v>14835.169999999998</v>
      </c>
    </row>
    <row r="50" spans="1:10" x14ac:dyDescent="0.35">
      <c r="A50" s="5" t="s">
        <v>87</v>
      </c>
      <c r="B50" s="6">
        <v>2519.3200000000002</v>
      </c>
      <c r="E50" s="7" t="s">
        <v>186</v>
      </c>
      <c r="F50" s="6">
        <v>10182.68</v>
      </c>
      <c r="I50" s="5" t="s">
        <v>59</v>
      </c>
      <c r="J50" s="6">
        <v>577.16999999999996</v>
      </c>
    </row>
    <row r="51" spans="1:10" x14ac:dyDescent="0.35">
      <c r="A51" s="5" t="s">
        <v>88</v>
      </c>
      <c r="B51" s="6">
        <v>10686.59</v>
      </c>
      <c r="E51" s="7" t="s">
        <v>187</v>
      </c>
      <c r="F51" s="6">
        <v>7917.37</v>
      </c>
      <c r="I51" s="5" t="s">
        <v>36</v>
      </c>
      <c r="J51" s="6">
        <v>376.77</v>
      </c>
    </row>
    <row r="52" spans="1:10" x14ac:dyDescent="0.35">
      <c r="A52" s="5" t="s">
        <v>89</v>
      </c>
      <c r="B52" s="6">
        <v>2140.6799999999998</v>
      </c>
      <c r="E52" s="7" t="s">
        <v>188</v>
      </c>
      <c r="F52" s="6">
        <v>330.66</v>
      </c>
      <c r="I52" s="5" t="s">
        <v>38</v>
      </c>
      <c r="J52" s="6">
        <v>1163.1199999999999</v>
      </c>
    </row>
    <row r="53" spans="1:10" x14ac:dyDescent="0.35">
      <c r="A53" s="5" t="s">
        <v>91</v>
      </c>
      <c r="B53" s="6">
        <v>3806.5</v>
      </c>
      <c r="E53" s="7" t="s">
        <v>189</v>
      </c>
      <c r="F53" s="6">
        <v>1522.6</v>
      </c>
      <c r="I53" s="5" t="s">
        <v>28</v>
      </c>
      <c r="J53" s="6">
        <v>13982.15</v>
      </c>
    </row>
    <row r="54" spans="1:10" x14ac:dyDescent="0.35">
      <c r="A54" s="5" t="s">
        <v>92</v>
      </c>
      <c r="B54" s="6">
        <v>8872.99</v>
      </c>
      <c r="E54" s="5" t="s">
        <v>152</v>
      </c>
      <c r="F54" s="6">
        <v>24101.269999999997</v>
      </c>
      <c r="I54" s="5" t="s">
        <v>33</v>
      </c>
      <c r="J54" s="6">
        <v>11403.67</v>
      </c>
    </row>
    <row r="55" spans="1:10" x14ac:dyDescent="0.35">
      <c r="A55" s="5" t="s">
        <v>93</v>
      </c>
      <c r="B55" s="6">
        <v>6001.47</v>
      </c>
      <c r="E55" s="7" t="s">
        <v>190</v>
      </c>
      <c r="F55" s="6">
        <v>473.46</v>
      </c>
      <c r="I55" s="5" t="s">
        <v>143</v>
      </c>
      <c r="J55" s="6">
        <v>53659.139999999992</v>
      </c>
    </row>
    <row r="56" spans="1:10" x14ac:dyDescent="0.35">
      <c r="A56" s="5" t="s">
        <v>94</v>
      </c>
      <c r="B56" s="6">
        <v>233.71</v>
      </c>
      <c r="E56" s="7" t="s">
        <v>191</v>
      </c>
      <c r="F56" s="6">
        <v>6503.5</v>
      </c>
    </row>
    <row r="57" spans="1:10" x14ac:dyDescent="0.35">
      <c r="A57" s="5" t="s">
        <v>95</v>
      </c>
      <c r="B57" s="6">
        <v>4838.9399999999996</v>
      </c>
      <c r="E57" s="7" t="s">
        <v>192</v>
      </c>
      <c r="F57" s="6">
        <v>376.77</v>
      </c>
    </row>
    <row r="58" spans="1:10" x14ac:dyDescent="0.35">
      <c r="A58" s="5" t="s">
        <v>96</v>
      </c>
      <c r="B58" s="6">
        <v>11741.74</v>
      </c>
      <c r="E58" s="7" t="s">
        <v>193</v>
      </c>
      <c r="F58" s="6">
        <v>1455.62</v>
      </c>
    </row>
    <row r="59" spans="1:10" x14ac:dyDescent="0.35">
      <c r="A59" s="5" t="s">
        <v>97</v>
      </c>
      <c r="B59" s="6">
        <v>840.44</v>
      </c>
      <c r="E59" s="7" t="s">
        <v>194</v>
      </c>
      <c r="F59" s="6">
        <v>2519.3200000000002</v>
      </c>
    </row>
    <row r="60" spans="1:10" x14ac:dyDescent="0.35">
      <c r="A60" s="5" t="s">
        <v>98</v>
      </c>
      <c r="B60" s="6">
        <v>12263.42</v>
      </c>
      <c r="E60" s="7" t="s">
        <v>195</v>
      </c>
      <c r="F60" s="6">
        <v>7335.5</v>
      </c>
    </row>
    <row r="61" spans="1:10" x14ac:dyDescent="0.35">
      <c r="A61" s="5" t="s">
        <v>99</v>
      </c>
      <c r="B61" s="6">
        <v>7064.98</v>
      </c>
      <c r="E61" s="7" t="s">
        <v>196</v>
      </c>
      <c r="F61" s="6">
        <v>5437.1</v>
      </c>
    </row>
    <row r="62" spans="1:10" x14ac:dyDescent="0.35">
      <c r="A62" s="5" t="s">
        <v>100</v>
      </c>
      <c r="B62" s="6">
        <v>2613.0700000000002</v>
      </c>
      <c r="E62" s="5" t="s">
        <v>153</v>
      </c>
      <c r="F62" s="6">
        <v>33977.270000000004</v>
      </c>
    </row>
    <row r="63" spans="1:10" x14ac:dyDescent="0.35">
      <c r="A63" s="5" t="s">
        <v>101</v>
      </c>
      <c r="B63" s="6">
        <v>1163.1199999999999</v>
      </c>
      <c r="E63" s="7" t="s">
        <v>197</v>
      </c>
      <c r="F63" s="6">
        <v>6151.97</v>
      </c>
    </row>
    <row r="64" spans="1:10" x14ac:dyDescent="0.35">
      <c r="A64" s="5" t="s">
        <v>102</v>
      </c>
      <c r="B64" s="6">
        <v>9714.7099999999991</v>
      </c>
      <c r="E64" s="7" t="s">
        <v>198</v>
      </c>
      <c r="F64" s="6">
        <v>6809.12</v>
      </c>
    </row>
    <row r="65" spans="1:6" x14ac:dyDescent="0.35">
      <c r="A65" s="5" t="s">
        <v>103</v>
      </c>
      <c r="B65" s="6">
        <v>4810.63</v>
      </c>
      <c r="E65" s="7" t="s">
        <v>199</v>
      </c>
      <c r="F65" s="6">
        <v>4975.38</v>
      </c>
    </row>
    <row r="66" spans="1:6" x14ac:dyDescent="0.35">
      <c r="A66" s="5" t="s">
        <v>104</v>
      </c>
      <c r="B66" s="6">
        <v>4739.04</v>
      </c>
      <c r="E66" s="7" t="s">
        <v>200</v>
      </c>
      <c r="F66" s="6">
        <v>1461.38</v>
      </c>
    </row>
    <row r="67" spans="1:6" x14ac:dyDescent="0.35">
      <c r="A67" s="5" t="s">
        <v>105</v>
      </c>
      <c r="B67" s="6">
        <v>12712.73</v>
      </c>
      <c r="E67" s="7" t="s">
        <v>201</v>
      </c>
      <c r="F67" s="6">
        <v>582.52</v>
      </c>
    </row>
    <row r="68" spans="1:6" x14ac:dyDescent="0.35">
      <c r="A68" s="5" t="s">
        <v>106</v>
      </c>
      <c r="B68" s="6">
        <v>3951.65</v>
      </c>
      <c r="E68" s="7" t="s">
        <v>202</v>
      </c>
      <c r="F68" s="6">
        <v>1350.6</v>
      </c>
    </row>
    <row r="69" spans="1:6" x14ac:dyDescent="0.35">
      <c r="A69" s="5" t="s">
        <v>107</v>
      </c>
      <c r="B69" s="6">
        <v>1608.18</v>
      </c>
      <c r="E69" s="7" t="s">
        <v>203</v>
      </c>
      <c r="F69" s="6">
        <v>1163.1199999999999</v>
      </c>
    </row>
    <row r="70" spans="1:6" x14ac:dyDescent="0.35">
      <c r="A70" s="5" t="s">
        <v>108</v>
      </c>
      <c r="B70" s="6">
        <v>892.21</v>
      </c>
      <c r="E70" s="7" t="s">
        <v>204</v>
      </c>
      <c r="F70" s="6">
        <v>11483.18</v>
      </c>
    </row>
    <row r="71" spans="1:6" x14ac:dyDescent="0.35">
      <c r="A71" s="5" t="s">
        <v>109</v>
      </c>
      <c r="B71" s="6">
        <v>1709.88</v>
      </c>
      <c r="E71" s="5" t="s">
        <v>154</v>
      </c>
      <c r="F71" s="6">
        <v>50714.990000000005</v>
      </c>
    </row>
    <row r="72" spans="1:6" x14ac:dyDescent="0.35">
      <c r="A72" s="5" t="s">
        <v>110</v>
      </c>
      <c r="B72" s="6">
        <v>1461.38</v>
      </c>
      <c r="E72" s="7" t="s">
        <v>205</v>
      </c>
      <c r="F72" s="6">
        <v>2541.04</v>
      </c>
    </row>
    <row r="73" spans="1:6" x14ac:dyDescent="0.35">
      <c r="A73" s="5" t="s">
        <v>111</v>
      </c>
      <c r="B73" s="6">
        <v>8463.99</v>
      </c>
      <c r="E73" s="7" t="s">
        <v>206</v>
      </c>
      <c r="F73" s="6">
        <v>4705.12</v>
      </c>
    </row>
    <row r="74" spans="1:6" x14ac:dyDescent="0.35">
      <c r="A74" s="5" t="s">
        <v>112</v>
      </c>
      <c r="B74" s="6">
        <v>8790.6</v>
      </c>
      <c r="E74" s="7" t="s">
        <v>207</v>
      </c>
      <c r="F74" s="6">
        <v>12987.75</v>
      </c>
    </row>
    <row r="75" spans="1:6" x14ac:dyDescent="0.35">
      <c r="A75" s="5" t="s">
        <v>113</v>
      </c>
      <c r="B75" s="6">
        <v>1455.62</v>
      </c>
      <c r="E75" s="7" t="s">
        <v>208</v>
      </c>
      <c r="F75" s="6">
        <v>8463.99</v>
      </c>
    </row>
    <row r="76" spans="1:6" x14ac:dyDescent="0.35">
      <c r="A76" s="5" t="s">
        <v>114</v>
      </c>
      <c r="B76" s="6">
        <v>1350.6</v>
      </c>
      <c r="E76" s="7" t="s">
        <v>209</v>
      </c>
      <c r="F76" s="6">
        <v>2306.81</v>
      </c>
    </row>
    <row r="77" spans="1:6" x14ac:dyDescent="0.35">
      <c r="A77" s="5" t="s">
        <v>115</v>
      </c>
      <c r="B77" s="6">
        <v>3891.04</v>
      </c>
      <c r="E77" s="7" t="s">
        <v>210</v>
      </c>
      <c r="F77" s="6">
        <v>13708.81</v>
      </c>
    </row>
    <row r="78" spans="1:6" x14ac:dyDescent="0.35">
      <c r="A78" s="5" t="s">
        <v>116</v>
      </c>
      <c r="B78" s="6">
        <v>3420.38</v>
      </c>
      <c r="E78" s="7" t="s">
        <v>211</v>
      </c>
      <c r="F78" s="6">
        <v>6001.47</v>
      </c>
    </row>
    <row r="79" spans="1:6" x14ac:dyDescent="0.35">
      <c r="A79" s="5" t="s">
        <v>117</v>
      </c>
      <c r="B79" s="6">
        <v>7270.4</v>
      </c>
      <c r="E79" s="5" t="s">
        <v>155</v>
      </c>
      <c r="F79" s="6">
        <v>42323.6</v>
      </c>
    </row>
    <row r="80" spans="1:6" x14ac:dyDescent="0.35">
      <c r="A80" s="5" t="s">
        <v>118</v>
      </c>
      <c r="B80" s="6">
        <v>2238.62</v>
      </c>
      <c r="E80" s="7" t="s">
        <v>212</v>
      </c>
      <c r="F80" s="6">
        <v>1373.07</v>
      </c>
    </row>
    <row r="81" spans="1:6" x14ac:dyDescent="0.35">
      <c r="A81" s="5" t="s">
        <v>119</v>
      </c>
      <c r="B81" s="6">
        <v>1611.21</v>
      </c>
      <c r="E81" s="7" t="s">
        <v>213</v>
      </c>
      <c r="F81" s="6">
        <v>4628.08</v>
      </c>
    </row>
    <row r="82" spans="1:6" x14ac:dyDescent="0.35">
      <c r="A82" s="5" t="s">
        <v>120</v>
      </c>
      <c r="B82" s="6">
        <v>2478.17</v>
      </c>
      <c r="E82" s="7" t="s">
        <v>214</v>
      </c>
      <c r="F82" s="6">
        <v>2200.0500000000002</v>
      </c>
    </row>
    <row r="83" spans="1:6" x14ac:dyDescent="0.35">
      <c r="A83" s="5" t="s">
        <v>121</v>
      </c>
      <c r="B83" s="6">
        <v>626.07000000000005</v>
      </c>
      <c r="E83" s="7" t="s">
        <v>215</v>
      </c>
      <c r="F83" s="6">
        <v>12149.99</v>
      </c>
    </row>
    <row r="84" spans="1:6" x14ac:dyDescent="0.35">
      <c r="A84" s="5" t="s">
        <v>122</v>
      </c>
      <c r="B84" s="6">
        <v>7756.51</v>
      </c>
      <c r="E84" s="7" t="s">
        <v>216</v>
      </c>
      <c r="F84" s="6">
        <v>892.21</v>
      </c>
    </row>
    <row r="85" spans="1:6" x14ac:dyDescent="0.35">
      <c r="A85" s="5" t="s">
        <v>123</v>
      </c>
      <c r="B85" s="6">
        <v>2541.04</v>
      </c>
      <c r="E85" s="7" t="s">
        <v>217</v>
      </c>
      <c r="F85" s="6">
        <v>7064.98</v>
      </c>
    </row>
    <row r="86" spans="1:6" x14ac:dyDescent="0.35">
      <c r="A86" s="5" t="s">
        <v>124</v>
      </c>
      <c r="B86" s="6">
        <v>11483.18</v>
      </c>
      <c r="E86" s="7" t="s">
        <v>218</v>
      </c>
      <c r="F86" s="6">
        <v>233.71</v>
      </c>
    </row>
    <row r="87" spans="1:6" x14ac:dyDescent="0.35">
      <c r="A87" s="5" t="s">
        <v>125</v>
      </c>
      <c r="B87" s="6">
        <v>13708.81</v>
      </c>
      <c r="E87" s="7" t="s">
        <v>219</v>
      </c>
      <c r="F87" s="6">
        <v>3891.04</v>
      </c>
    </row>
    <row r="88" spans="1:6" x14ac:dyDescent="0.35">
      <c r="A88" s="5" t="s">
        <v>126</v>
      </c>
      <c r="B88" s="6">
        <v>4257.91</v>
      </c>
      <c r="E88" s="7" t="s">
        <v>220</v>
      </c>
      <c r="F88" s="6">
        <v>9890.4699999999993</v>
      </c>
    </row>
    <row r="89" spans="1:6" x14ac:dyDescent="0.35">
      <c r="A89" s="5" t="s">
        <v>127</v>
      </c>
      <c r="B89" s="6">
        <v>5669.79</v>
      </c>
      <c r="E89" s="5" t="s">
        <v>156</v>
      </c>
      <c r="F89" s="6">
        <v>47650.590000000004</v>
      </c>
    </row>
    <row r="90" spans="1:6" x14ac:dyDescent="0.35">
      <c r="A90" s="5" t="s">
        <v>128</v>
      </c>
      <c r="B90" s="6">
        <v>7505.83</v>
      </c>
      <c r="E90" s="7" t="s">
        <v>221</v>
      </c>
      <c r="F90" s="6">
        <v>10686.59</v>
      </c>
    </row>
    <row r="91" spans="1:6" x14ac:dyDescent="0.35">
      <c r="A91" s="5" t="s">
        <v>129</v>
      </c>
      <c r="B91" s="6">
        <v>12987.75</v>
      </c>
      <c r="E91" s="7" t="s">
        <v>222</v>
      </c>
      <c r="F91" s="6">
        <v>10583.44</v>
      </c>
    </row>
    <row r="92" spans="1:6" x14ac:dyDescent="0.35">
      <c r="A92" s="5" t="s">
        <v>130</v>
      </c>
      <c r="B92" s="6">
        <v>2149.91</v>
      </c>
      <c r="E92" s="7" t="s">
        <v>223</v>
      </c>
      <c r="F92" s="6">
        <v>7505.83</v>
      </c>
    </row>
    <row r="93" spans="1:6" x14ac:dyDescent="0.35">
      <c r="A93" s="5" t="s">
        <v>131</v>
      </c>
      <c r="B93" s="6">
        <v>4729.96</v>
      </c>
      <c r="E93" s="7" t="s">
        <v>224</v>
      </c>
      <c r="F93" s="6">
        <v>3322.07</v>
      </c>
    </row>
    <row r="94" spans="1:6" x14ac:dyDescent="0.35">
      <c r="A94" s="5" t="s">
        <v>132</v>
      </c>
      <c r="B94" s="6">
        <v>9889.86</v>
      </c>
      <c r="E94" s="7" t="s">
        <v>225</v>
      </c>
      <c r="F94" s="6">
        <v>7756.51</v>
      </c>
    </row>
    <row r="95" spans="1:6" x14ac:dyDescent="0.35">
      <c r="A95" s="5" t="s">
        <v>133</v>
      </c>
      <c r="B95" s="6">
        <v>6503.5</v>
      </c>
      <c r="E95" s="7" t="s">
        <v>226</v>
      </c>
      <c r="F95" s="6">
        <v>525.75</v>
      </c>
    </row>
    <row r="96" spans="1:6" x14ac:dyDescent="0.35">
      <c r="A96" s="5" t="s">
        <v>134</v>
      </c>
      <c r="B96" s="6">
        <v>936.75</v>
      </c>
      <c r="E96" s="7" t="s">
        <v>227</v>
      </c>
      <c r="F96" s="6">
        <v>7270.4</v>
      </c>
    </row>
    <row r="97" spans="1:6" x14ac:dyDescent="0.35">
      <c r="A97" s="5" t="s">
        <v>135</v>
      </c>
      <c r="B97" s="6">
        <v>525.75</v>
      </c>
      <c r="E97" s="5" t="s">
        <v>157</v>
      </c>
      <c r="F97" s="6">
        <v>40175.600000000006</v>
      </c>
    </row>
    <row r="98" spans="1:6" x14ac:dyDescent="0.35">
      <c r="A98" s="5" t="s">
        <v>136</v>
      </c>
      <c r="B98" s="6">
        <v>1458.92</v>
      </c>
      <c r="E98" s="7" t="s">
        <v>228</v>
      </c>
      <c r="F98" s="6">
        <v>4231</v>
      </c>
    </row>
    <row r="99" spans="1:6" x14ac:dyDescent="0.35">
      <c r="A99" s="5" t="s">
        <v>137</v>
      </c>
      <c r="B99" s="6">
        <v>577.16999999999996</v>
      </c>
      <c r="E99" s="7" t="s">
        <v>229</v>
      </c>
      <c r="F99" s="6">
        <v>8148.57</v>
      </c>
    </row>
    <row r="100" spans="1:6" x14ac:dyDescent="0.35">
      <c r="A100" s="5" t="s">
        <v>138</v>
      </c>
      <c r="B100" s="6">
        <v>989.05</v>
      </c>
      <c r="E100" s="7" t="s">
        <v>230</v>
      </c>
      <c r="F100" s="6">
        <v>1709.88</v>
      </c>
    </row>
    <row r="101" spans="1:6" x14ac:dyDescent="0.35">
      <c r="A101" s="5" t="s">
        <v>139</v>
      </c>
      <c r="B101" s="6">
        <v>11321.09</v>
      </c>
      <c r="E101" s="7" t="s">
        <v>231</v>
      </c>
      <c r="F101" s="6">
        <v>7559.21</v>
      </c>
    </row>
    <row r="102" spans="1:6" x14ac:dyDescent="0.35">
      <c r="A102" s="5" t="s">
        <v>140</v>
      </c>
      <c r="B102" s="6">
        <v>6627.86</v>
      </c>
      <c r="E102" s="7" t="s">
        <v>232</v>
      </c>
      <c r="F102" s="6">
        <v>3806.5</v>
      </c>
    </row>
    <row r="103" spans="1:6" x14ac:dyDescent="0.35">
      <c r="A103" s="5" t="s">
        <v>141</v>
      </c>
      <c r="B103" s="6">
        <v>10182.68</v>
      </c>
      <c r="E103" s="7" t="s">
        <v>233</v>
      </c>
      <c r="F103" s="6">
        <v>3167.88</v>
      </c>
    </row>
    <row r="104" spans="1:6" x14ac:dyDescent="0.35">
      <c r="A104" s="5" t="s">
        <v>143</v>
      </c>
      <c r="B104" s="6">
        <v>491075.12999999983</v>
      </c>
      <c r="E104" s="7" t="s">
        <v>234</v>
      </c>
      <c r="F104" s="6">
        <v>989.05</v>
      </c>
    </row>
    <row r="105" spans="1:6" x14ac:dyDescent="0.35">
      <c r="E105" s="7" t="s">
        <v>235</v>
      </c>
      <c r="F105" s="6">
        <v>8238.2099999999991</v>
      </c>
    </row>
    <row r="106" spans="1:6" x14ac:dyDescent="0.35">
      <c r="E106" s="7" t="s">
        <v>236</v>
      </c>
      <c r="F106" s="6">
        <v>2325.3000000000002</v>
      </c>
    </row>
    <row r="107" spans="1:6" x14ac:dyDescent="0.35">
      <c r="E107" s="5" t="s">
        <v>158</v>
      </c>
      <c r="F107" s="6">
        <v>55476.18</v>
      </c>
    </row>
    <row r="108" spans="1:6" x14ac:dyDescent="0.35">
      <c r="E108" s="7" t="s">
        <v>237</v>
      </c>
      <c r="F108" s="6">
        <v>4257.91</v>
      </c>
    </row>
    <row r="109" spans="1:6" x14ac:dyDescent="0.35">
      <c r="E109" s="7" t="s">
        <v>238</v>
      </c>
      <c r="F109" s="6">
        <v>840.44</v>
      </c>
    </row>
    <row r="110" spans="1:6" x14ac:dyDescent="0.35">
      <c r="E110" s="7" t="s">
        <v>239</v>
      </c>
      <c r="F110" s="6">
        <v>16424.560000000001</v>
      </c>
    </row>
    <row r="111" spans="1:6" x14ac:dyDescent="0.35">
      <c r="E111" s="7" t="s">
        <v>240</v>
      </c>
      <c r="F111" s="6">
        <v>4335.7299999999996</v>
      </c>
    </row>
    <row r="112" spans="1:6" x14ac:dyDescent="0.35">
      <c r="E112" s="7" t="s">
        <v>241</v>
      </c>
      <c r="F112" s="6">
        <v>4838.9399999999996</v>
      </c>
    </row>
    <row r="113" spans="5:6" x14ac:dyDescent="0.35">
      <c r="E113" s="7" t="s">
        <v>242</v>
      </c>
      <c r="F113" s="6">
        <v>10204.69</v>
      </c>
    </row>
    <row r="114" spans="5:6" x14ac:dyDescent="0.35">
      <c r="E114" s="7" t="s">
        <v>243</v>
      </c>
      <c r="F114" s="6">
        <v>3420.38</v>
      </c>
    </row>
    <row r="115" spans="5:6" x14ac:dyDescent="0.35">
      <c r="E115" s="7" t="s">
        <v>244</v>
      </c>
      <c r="F115" s="6">
        <v>9885.64</v>
      </c>
    </row>
    <row r="116" spans="5:6" x14ac:dyDescent="0.35">
      <c r="E116" s="7" t="s">
        <v>245</v>
      </c>
      <c r="F116" s="6">
        <v>1267.8900000000001</v>
      </c>
    </row>
    <row r="117" spans="5:6" x14ac:dyDescent="0.35">
      <c r="E117" s="5" t="s">
        <v>143</v>
      </c>
      <c r="F117" s="6">
        <v>491075.13</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0DF8D-747E-4815-9DBC-F48CC6F8D204}">
  <dimension ref="A1:M101"/>
  <sheetViews>
    <sheetView workbookViewId="0"/>
  </sheetViews>
  <sheetFormatPr defaultRowHeight="14.5" x14ac:dyDescent="0.35"/>
  <cols>
    <col min="1" max="1" width="9.1796875" bestFit="1" customWidth="1"/>
    <col min="2" max="2" width="10.1796875" bestFit="1" customWidth="1"/>
    <col min="3" max="3" width="14.453125" bestFit="1" customWidth="1"/>
    <col min="4" max="4" width="6.453125" bestFit="1" customWidth="1"/>
    <col min="5" max="5" width="13.1796875" bestFit="1" customWidth="1"/>
    <col min="6" max="6" width="12" bestFit="1" customWidth="1"/>
    <col min="7" max="7" width="8.1796875" bestFit="1" customWidth="1"/>
    <col min="8" max="8" width="8.90625" bestFit="1" customWidth="1"/>
    <col min="9" max="9" width="8.1796875" bestFit="1" customWidth="1"/>
    <col min="10" max="10" width="9.7265625" bestFit="1" customWidth="1"/>
    <col min="11" max="11" width="7.81640625" bestFit="1" customWidth="1"/>
    <col min="12" max="12" width="13.7265625" bestFit="1" customWidth="1"/>
    <col min="13" max="13" width="10.26953125" customWidth="1"/>
  </cols>
  <sheetData>
    <row r="1" spans="1:13" x14ac:dyDescent="0.35">
      <c r="A1" s="1" t="s">
        <v>0</v>
      </c>
      <c r="B1" s="1" t="s">
        <v>1</v>
      </c>
      <c r="C1" s="1" t="s">
        <v>2</v>
      </c>
      <c r="D1" s="1" t="s">
        <v>3</v>
      </c>
      <c r="E1" s="1" t="s">
        <v>4</v>
      </c>
      <c r="F1" s="1" t="s">
        <v>5</v>
      </c>
      <c r="G1" s="1" t="s">
        <v>6</v>
      </c>
      <c r="H1" s="1" t="s">
        <v>7</v>
      </c>
      <c r="I1" s="1" t="s">
        <v>8</v>
      </c>
      <c r="J1" s="1" t="s">
        <v>9</v>
      </c>
      <c r="K1" s="1" t="s">
        <v>10</v>
      </c>
      <c r="L1" s="1" t="s">
        <v>11</v>
      </c>
      <c r="M1" s="8" t="s">
        <v>146</v>
      </c>
    </row>
    <row r="2" spans="1:13" x14ac:dyDescent="0.35">
      <c r="A2" s="2" t="s">
        <v>12</v>
      </c>
      <c r="B2" s="3">
        <v>45029</v>
      </c>
      <c r="C2" s="2" t="s">
        <v>13</v>
      </c>
      <c r="D2" s="2" t="s">
        <v>14</v>
      </c>
      <c r="E2" s="2" t="s">
        <v>15</v>
      </c>
      <c r="F2" s="2" t="s">
        <v>16</v>
      </c>
      <c r="G2" s="2">
        <v>3</v>
      </c>
      <c r="H2" s="2">
        <v>1443.03</v>
      </c>
      <c r="I2" s="2">
        <v>0.1</v>
      </c>
      <c r="J2" s="2">
        <v>3896.18</v>
      </c>
      <c r="K2" s="2">
        <v>964.48</v>
      </c>
      <c r="L2" s="2" t="s">
        <v>17</v>
      </c>
      <c r="M2" s="2">
        <f>G2*H2</f>
        <v>4329.09</v>
      </c>
    </row>
    <row r="3" spans="1:13" x14ac:dyDescent="0.35">
      <c r="A3" s="2" t="s">
        <v>18</v>
      </c>
      <c r="B3" s="3">
        <v>45275</v>
      </c>
      <c r="C3" s="2" t="s">
        <v>19</v>
      </c>
      <c r="D3" s="2" t="s">
        <v>20</v>
      </c>
      <c r="E3" s="2" t="s">
        <v>21</v>
      </c>
      <c r="F3" s="2" t="s">
        <v>22</v>
      </c>
      <c r="G3" s="2">
        <v>7</v>
      </c>
      <c r="H3" s="2">
        <v>1715.07</v>
      </c>
      <c r="I3" s="2">
        <v>0.15</v>
      </c>
      <c r="J3" s="2">
        <v>10204.69</v>
      </c>
      <c r="K3" s="2">
        <v>1354.41</v>
      </c>
      <c r="L3" s="2" t="s">
        <v>23</v>
      </c>
      <c r="M3" s="2">
        <f t="shared" ref="M3:M66" si="0">G3*H3</f>
        <v>12005.49</v>
      </c>
    </row>
    <row r="4" spans="1:13" x14ac:dyDescent="0.35">
      <c r="A4" s="2" t="s">
        <v>24</v>
      </c>
      <c r="B4" s="3">
        <v>45197</v>
      </c>
      <c r="C4" s="2" t="s">
        <v>13</v>
      </c>
      <c r="D4" s="2" t="s">
        <v>20</v>
      </c>
      <c r="E4" s="2" t="s">
        <v>25</v>
      </c>
      <c r="F4" s="2" t="s">
        <v>26</v>
      </c>
      <c r="G4" s="2">
        <v>8</v>
      </c>
      <c r="H4" s="2">
        <v>621.97</v>
      </c>
      <c r="I4" s="2">
        <v>0.1</v>
      </c>
      <c r="J4" s="2">
        <v>4478.1899999999996</v>
      </c>
      <c r="K4" s="2">
        <v>752.58</v>
      </c>
      <c r="L4" s="2" t="s">
        <v>23</v>
      </c>
      <c r="M4" s="2">
        <f t="shared" si="0"/>
        <v>4975.76</v>
      </c>
    </row>
    <row r="5" spans="1:13" x14ac:dyDescent="0.35">
      <c r="A5" s="2" t="s">
        <v>27</v>
      </c>
      <c r="B5" s="3">
        <v>45033</v>
      </c>
      <c r="C5" s="2" t="s">
        <v>28</v>
      </c>
      <c r="D5" s="2" t="s">
        <v>14</v>
      </c>
      <c r="E5" s="2" t="s">
        <v>15</v>
      </c>
      <c r="F5" s="2" t="s">
        <v>29</v>
      </c>
      <c r="G5" s="2">
        <v>5</v>
      </c>
      <c r="H5" s="2">
        <v>1166.43</v>
      </c>
      <c r="I5" s="2">
        <v>0.1</v>
      </c>
      <c r="J5" s="2">
        <v>5248.92</v>
      </c>
      <c r="K5" s="2">
        <v>948.39</v>
      </c>
      <c r="L5" s="2" t="s">
        <v>30</v>
      </c>
      <c r="M5" s="2">
        <f t="shared" si="0"/>
        <v>5832.1500000000005</v>
      </c>
    </row>
    <row r="6" spans="1:13" x14ac:dyDescent="0.35">
      <c r="A6" s="2" t="s">
        <v>31</v>
      </c>
      <c r="B6" s="3">
        <v>44998</v>
      </c>
      <c r="C6" s="2" t="s">
        <v>13</v>
      </c>
      <c r="D6" s="2" t="s">
        <v>20</v>
      </c>
      <c r="E6" s="2" t="s">
        <v>25</v>
      </c>
      <c r="F6" s="2" t="s">
        <v>26</v>
      </c>
      <c r="G6" s="2">
        <v>7</v>
      </c>
      <c r="H6" s="2">
        <v>1003.2</v>
      </c>
      <c r="I6" s="2">
        <v>0.2</v>
      </c>
      <c r="J6" s="2">
        <v>5617.94</v>
      </c>
      <c r="K6" s="2">
        <v>995.18</v>
      </c>
      <c r="L6" s="2" t="s">
        <v>17</v>
      </c>
      <c r="M6" s="2">
        <f t="shared" si="0"/>
        <v>7022.4000000000005</v>
      </c>
    </row>
    <row r="7" spans="1:13" x14ac:dyDescent="0.35">
      <c r="A7" s="2" t="s">
        <v>32</v>
      </c>
      <c r="B7" s="3">
        <v>45115</v>
      </c>
      <c r="C7" s="2" t="s">
        <v>33</v>
      </c>
      <c r="D7" s="2" t="s">
        <v>14</v>
      </c>
      <c r="E7" s="2" t="s">
        <v>25</v>
      </c>
      <c r="F7" s="2" t="s">
        <v>26</v>
      </c>
      <c r="G7" s="2">
        <v>4</v>
      </c>
      <c r="H7" s="2">
        <v>1891.42</v>
      </c>
      <c r="I7" s="2">
        <v>0.1</v>
      </c>
      <c r="J7" s="2">
        <v>6809.12</v>
      </c>
      <c r="K7" s="2">
        <v>1523.17</v>
      </c>
      <c r="L7" s="2" t="s">
        <v>34</v>
      </c>
      <c r="M7" s="2">
        <f t="shared" si="0"/>
        <v>7565.68</v>
      </c>
    </row>
    <row r="8" spans="1:13" x14ac:dyDescent="0.35">
      <c r="A8" s="2" t="s">
        <v>35</v>
      </c>
      <c r="B8" s="3">
        <v>44947</v>
      </c>
      <c r="C8" s="2" t="s">
        <v>36</v>
      </c>
      <c r="D8" s="2" t="s">
        <v>14</v>
      </c>
      <c r="E8" s="2" t="s">
        <v>21</v>
      </c>
      <c r="F8" s="2" t="s">
        <v>22</v>
      </c>
      <c r="G8" s="2">
        <v>5</v>
      </c>
      <c r="H8" s="2">
        <v>1755.78</v>
      </c>
      <c r="I8" s="2">
        <v>0.15</v>
      </c>
      <c r="J8" s="2">
        <v>7462.04</v>
      </c>
      <c r="K8" s="2">
        <v>780.61</v>
      </c>
      <c r="L8" s="2" t="s">
        <v>23</v>
      </c>
      <c r="M8" s="2">
        <f t="shared" si="0"/>
        <v>8778.9</v>
      </c>
    </row>
    <row r="9" spans="1:13" x14ac:dyDescent="0.35">
      <c r="A9" s="2" t="s">
        <v>37</v>
      </c>
      <c r="B9" s="3">
        <v>45029</v>
      </c>
      <c r="C9" s="2" t="s">
        <v>38</v>
      </c>
      <c r="D9" s="2" t="s">
        <v>39</v>
      </c>
      <c r="E9" s="2" t="s">
        <v>15</v>
      </c>
      <c r="F9" s="2" t="s">
        <v>40</v>
      </c>
      <c r="G9" s="2">
        <v>7</v>
      </c>
      <c r="H9" s="2">
        <v>1802.57</v>
      </c>
      <c r="I9" s="2">
        <v>0</v>
      </c>
      <c r="J9" s="2">
        <v>12618.01</v>
      </c>
      <c r="K9" s="2">
        <v>1489.34</v>
      </c>
      <c r="L9" s="2" t="s">
        <v>34</v>
      </c>
      <c r="M9" s="2">
        <f t="shared" si="0"/>
        <v>12617.99</v>
      </c>
    </row>
    <row r="10" spans="1:13" x14ac:dyDescent="0.35">
      <c r="A10" s="2" t="s">
        <v>41</v>
      </c>
      <c r="B10" s="3">
        <v>45048</v>
      </c>
      <c r="C10" s="2" t="s">
        <v>13</v>
      </c>
      <c r="D10" s="2" t="s">
        <v>42</v>
      </c>
      <c r="E10" s="2" t="s">
        <v>25</v>
      </c>
      <c r="F10" s="2" t="s">
        <v>26</v>
      </c>
      <c r="G10" s="2">
        <v>7</v>
      </c>
      <c r="H10" s="2">
        <v>412.85</v>
      </c>
      <c r="I10" s="2">
        <v>0.1</v>
      </c>
      <c r="J10" s="2">
        <v>2600.9299999999998</v>
      </c>
      <c r="K10" s="2">
        <v>401.46</v>
      </c>
      <c r="L10" s="2" t="s">
        <v>17</v>
      </c>
      <c r="M10" s="2">
        <f t="shared" si="0"/>
        <v>2889.9500000000003</v>
      </c>
    </row>
    <row r="11" spans="1:13" x14ac:dyDescent="0.35">
      <c r="A11" s="2" t="s">
        <v>43</v>
      </c>
      <c r="B11" s="3">
        <v>45141</v>
      </c>
      <c r="C11" s="2" t="s">
        <v>44</v>
      </c>
      <c r="D11" s="2" t="s">
        <v>14</v>
      </c>
      <c r="E11" s="2" t="s">
        <v>21</v>
      </c>
      <c r="F11" s="2" t="s">
        <v>45</v>
      </c>
      <c r="G11" s="2">
        <v>6</v>
      </c>
      <c r="H11" s="2">
        <v>515.65</v>
      </c>
      <c r="I11" s="2">
        <v>0</v>
      </c>
      <c r="J11" s="2">
        <v>3093.91</v>
      </c>
      <c r="K11" s="2">
        <v>467.05</v>
      </c>
      <c r="L11" s="2" t="s">
        <v>30</v>
      </c>
      <c r="M11" s="2">
        <f t="shared" si="0"/>
        <v>3093.8999999999996</v>
      </c>
    </row>
    <row r="12" spans="1:13" x14ac:dyDescent="0.35">
      <c r="A12" s="2" t="s">
        <v>46</v>
      </c>
      <c r="B12" s="3">
        <v>45257</v>
      </c>
      <c r="C12" s="2" t="s">
        <v>44</v>
      </c>
      <c r="D12" s="2" t="s">
        <v>20</v>
      </c>
      <c r="E12" s="2" t="s">
        <v>21</v>
      </c>
      <c r="F12" s="2" t="s">
        <v>45</v>
      </c>
      <c r="G12" s="2">
        <v>2</v>
      </c>
      <c r="H12" s="2">
        <v>1453.31</v>
      </c>
      <c r="I12" s="2">
        <v>0.2</v>
      </c>
      <c r="J12" s="2">
        <v>2325.3000000000002</v>
      </c>
      <c r="K12" s="2">
        <v>281.85000000000002</v>
      </c>
      <c r="L12" s="2" t="s">
        <v>34</v>
      </c>
      <c r="M12" s="2">
        <f t="shared" si="0"/>
        <v>2906.62</v>
      </c>
    </row>
    <row r="13" spans="1:13" x14ac:dyDescent="0.35">
      <c r="A13" s="2" t="s">
        <v>47</v>
      </c>
      <c r="B13" s="3">
        <v>45014</v>
      </c>
      <c r="C13" s="2" t="s">
        <v>33</v>
      </c>
      <c r="D13" s="2" t="s">
        <v>42</v>
      </c>
      <c r="E13" s="2" t="s">
        <v>21</v>
      </c>
      <c r="F13" s="2" t="s">
        <v>48</v>
      </c>
      <c r="G13" s="2">
        <v>6</v>
      </c>
      <c r="H13" s="2">
        <v>162.80000000000001</v>
      </c>
      <c r="I13" s="2">
        <v>0</v>
      </c>
      <c r="J13" s="2">
        <v>976.78</v>
      </c>
      <c r="K13" s="2">
        <v>203.74</v>
      </c>
      <c r="L13" s="2" t="s">
        <v>30</v>
      </c>
      <c r="M13" s="2">
        <f t="shared" si="0"/>
        <v>976.80000000000007</v>
      </c>
    </row>
    <row r="14" spans="1:13" x14ac:dyDescent="0.35">
      <c r="A14" s="2" t="s">
        <v>49</v>
      </c>
      <c r="B14" s="3">
        <v>45026</v>
      </c>
      <c r="C14" s="2" t="s">
        <v>44</v>
      </c>
      <c r="D14" s="2" t="s">
        <v>20</v>
      </c>
      <c r="E14" s="2" t="s">
        <v>21</v>
      </c>
      <c r="F14" s="2" t="s">
        <v>48</v>
      </c>
      <c r="G14" s="2">
        <v>7</v>
      </c>
      <c r="H14" s="2">
        <v>1377.06</v>
      </c>
      <c r="I14" s="2">
        <v>0.1</v>
      </c>
      <c r="J14" s="2">
        <v>8675.4599999999991</v>
      </c>
      <c r="K14" s="2">
        <v>1235.5</v>
      </c>
      <c r="L14" s="2" t="s">
        <v>23</v>
      </c>
      <c r="M14" s="2">
        <f t="shared" si="0"/>
        <v>9639.42</v>
      </c>
    </row>
    <row r="15" spans="1:13" x14ac:dyDescent="0.35">
      <c r="A15" s="2" t="s">
        <v>50</v>
      </c>
      <c r="B15" s="3">
        <v>45286</v>
      </c>
      <c r="C15" s="2" t="s">
        <v>51</v>
      </c>
      <c r="D15" s="2" t="s">
        <v>39</v>
      </c>
      <c r="E15" s="2" t="s">
        <v>25</v>
      </c>
      <c r="F15" s="2" t="s">
        <v>52</v>
      </c>
      <c r="G15" s="2">
        <v>6</v>
      </c>
      <c r="H15" s="2">
        <v>857.77</v>
      </c>
      <c r="I15" s="2">
        <v>0</v>
      </c>
      <c r="J15" s="2">
        <v>5146.6000000000004</v>
      </c>
      <c r="K15" s="2">
        <v>451.25</v>
      </c>
      <c r="L15" s="2" t="s">
        <v>34</v>
      </c>
      <c r="M15" s="2">
        <f t="shared" si="0"/>
        <v>5146.62</v>
      </c>
    </row>
    <row r="16" spans="1:13" x14ac:dyDescent="0.35">
      <c r="A16" s="2" t="s">
        <v>53</v>
      </c>
      <c r="B16" s="3">
        <v>45078</v>
      </c>
      <c r="C16" s="2" t="s">
        <v>36</v>
      </c>
      <c r="D16" s="2" t="s">
        <v>39</v>
      </c>
      <c r="E16" s="2" t="s">
        <v>15</v>
      </c>
      <c r="F16" s="2" t="s">
        <v>16</v>
      </c>
      <c r="G16" s="2">
        <v>4</v>
      </c>
      <c r="H16" s="2">
        <v>131.52000000000001</v>
      </c>
      <c r="I16" s="2">
        <v>0.1</v>
      </c>
      <c r="J16" s="2">
        <v>473.46</v>
      </c>
      <c r="K16" s="2">
        <v>119.49</v>
      </c>
      <c r="L16" s="2" t="s">
        <v>17</v>
      </c>
      <c r="M16" s="2">
        <f t="shared" si="0"/>
        <v>526.08000000000004</v>
      </c>
    </row>
    <row r="17" spans="1:13" x14ac:dyDescent="0.35">
      <c r="A17" s="2" t="s">
        <v>54</v>
      </c>
      <c r="B17" s="3">
        <v>45057</v>
      </c>
      <c r="C17" s="2" t="s">
        <v>38</v>
      </c>
      <c r="D17" s="2" t="s">
        <v>42</v>
      </c>
      <c r="E17" s="2" t="s">
        <v>25</v>
      </c>
      <c r="F17" s="2" t="s">
        <v>55</v>
      </c>
      <c r="G17" s="2">
        <v>8</v>
      </c>
      <c r="H17" s="2">
        <v>834.8</v>
      </c>
      <c r="I17" s="2">
        <v>0.05</v>
      </c>
      <c r="J17" s="2">
        <v>6344.46</v>
      </c>
      <c r="K17" s="2">
        <v>1645.93</v>
      </c>
      <c r="L17" s="2" t="s">
        <v>23</v>
      </c>
      <c r="M17" s="2">
        <f t="shared" si="0"/>
        <v>6678.4</v>
      </c>
    </row>
    <row r="18" spans="1:13" x14ac:dyDescent="0.35">
      <c r="A18" s="2" t="s">
        <v>56</v>
      </c>
      <c r="B18" s="3">
        <v>45076</v>
      </c>
      <c r="C18" s="2" t="s">
        <v>36</v>
      </c>
      <c r="D18" s="2" t="s">
        <v>39</v>
      </c>
      <c r="E18" s="2" t="s">
        <v>15</v>
      </c>
      <c r="F18" s="2" t="s">
        <v>16</v>
      </c>
      <c r="G18" s="2">
        <v>3</v>
      </c>
      <c r="H18" s="2">
        <v>534.25</v>
      </c>
      <c r="I18" s="2">
        <v>0.05</v>
      </c>
      <c r="J18" s="2">
        <v>1522.6</v>
      </c>
      <c r="K18" s="2">
        <v>449.99</v>
      </c>
      <c r="L18" s="2" t="s">
        <v>34</v>
      </c>
      <c r="M18" s="2">
        <f t="shared" si="0"/>
        <v>1602.75</v>
      </c>
    </row>
    <row r="19" spans="1:13" x14ac:dyDescent="0.35">
      <c r="A19" s="2" t="s">
        <v>57</v>
      </c>
      <c r="B19" s="3">
        <v>45235</v>
      </c>
      <c r="C19" s="2" t="s">
        <v>38</v>
      </c>
      <c r="D19" s="2" t="s">
        <v>20</v>
      </c>
      <c r="E19" s="2" t="s">
        <v>21</v>
      </c>
      <c r="F19" s="2" t="s">
        <v>22</v>
      </c>
      <c r="G19" s="2">
        <v>5</v>
      </c>
      <c r="H19" s="2">
        <v>1810.79</v>
      </c>
      <c r="I19" s="2">
        <v>0.1</v>
      </c>
      <c r="J19" s="2">
        <v>8148.57</v>
      </c>
      <c r="K19" s="2">
        <v>791.85</v>
      </c>
      <c r="L19" s="2" t="s">
        <v>17</v>
      </c>
      <c r="M19" s="2">
        <f t="shared" si="0"/>
        <v>9053.9500000000007</v>
      </c>
    </row>
    <row r="20" spans="1:13" x14ac:dyDescent="0.35">
      <c r="A20" s="2" t="s">
        <v>58</v>
      </c>
      <c r="B20" s="3">
        <v>45184</v>
      </c>
      <c r="C20" s="2" t="s">
        <v>59</v>
      </c>
      <c r="D20" s="2" t="s">
        <v>39</v>
      </c>
      <c r="E20" s="2" t="s">
        <v>15</v>
      </c>
      <c r="F20" s="2" t="s">
        <v>40</v>
      </c>
      <c r="G20" s="2">
        <v>8</v>
      </c>
      <c r="H20" s="2">
        <v>1786.76</v>
      </c>
      <c r="I20" s="2">
        <v>0.15</v>
      </c>
      <c r="J20" s="2">
        <v>12149.99</v>
      </c>
      <c r="K20" s="2">
        <v>863.07</v>
      </c>
      <c r="L20" s="2" t="s">
        <v>23</v>
      </c>
      <c r="M20" s="2">
        <f t="shared" si="0"/>
        <v>14294.08</v>
      </c>
    </row>
    <row r="21" spans="1:13" x14ac:dyDescent="0.35">
      <c r="A21" s="2" t="s">
        <v>60</v>
      </c>
      <c r="B21" s="3">
        <v>45270</v>
      </c>
      <c r="C21" s="2" t="s">
        <v>33</v>
      </c>
      <c r="D21" s="2" t="s">
        <v>14</v>
      </c>
      <c r="E21" s="2" t="s">
        <v>21</v>
      </c>
      <c r="F21" s="2" t="s">
        <v>45</v>
      </c>
      <c r="G21" s="2">
        <v>9</v>
      </c>
      <c r="H21" s="2">
        <v>1360.65</v>
      </c>
      <c r="I21" s="2">
        <v>0.2</v>
      </c>
      <c r="J21" s="2">
        <v>9796.7000000000007</v>
      </c>
      <c r="K21" s="2">
        <v>1185.21</v>
      </c>
      <c r="L21" s="2" t="s">
        <v>23</v>
      </c>
      <c r="M21" s="2">
        <f t="shared" si="0"/>
        <v>12245.85</v>
      </c>
    </row>
    <row r="22" spans="1:13" x14ac:dyDescent="0.35">
      <c r="A22" s="2" t="s">
        <v>61</v>
      </c>
      <c r="B22" s="3">
        <v>45220</v>
      </c>
      <c r="C22" s="2" t="s">
        <v>13</v>
      </c>
      <c r="D22" s="2" t="s">
        <v>39</v>
      </c>
      <c r="E22" s="2" t="s">
        <v>15</v>
      </c>
      <c r="F22" s="2" t="s">
        <v>29</v>
      </c>
      <c r="G22" s="2">
        <v>9</v>
      </c>
      <c r="H22" s="2">
        <v>434.26</v>
      </c>
      <c r="I22" s="2">
        <v>0.15</v>
      </c>
      <c r="J22" s="2">
        <v>3322.07</v>
      </c>
      <c r="K22" s="2">
        <v>363.14</v>
      </c>
      <c r="L22" s="2" t="s">
        <v>30</v>
      </c>
      <c r="M22" s="2">
        <f t="shared" si="0"/>
        <v>3908.34</v>
      </c>
    </row>
    <row r="23" spans="1:13" x14ac:dyDescent="0.35">
      <c r="A23" s="2" t="s">
        <v>62</v>
      </c>
      <c r="B23" s="3">
        <v>45118</v>
      </c>
      <c r="C23" s="2" t="s">
        <v>51</v>
      </c>
      <c r="D23" s="2" t="s">
        <v>20</v>
      </c>
      <c r="E23" s="2" t="s">
        <v>15</v>
      </c>
      <c r="F23" s="2" t="s">
        <v>16</v>
      </c>
      <c r="G23" s="2">
        <v>1</v>
      </c>
      <c r="H23" s="2">
        <v>685.32</v>
      </c>
      <c r="I23" s="2">
        <v>0.15</v>
      </c>
      <c r="J23" s="2">
        <v>582.52</v>
      </c>
      <c r="K23" s="2">
        <v>103.22</v>
      </c>
      <c r="L23" s="2" t="s">
        <v>23</v>
      </c>
      <c r="M23" s="2">
        <f t="shared" si="0"/>
        <v>685.32</v>
      </c>
    </row>
    <row r="24" spans="1:13" x14ac:dyDescent="0.35">
      <c r="A24" s="2" t="s">
        <v>63</v>
      </c>
      <c r="B24" s="3">
        <v>45203</v>
      </c>
      <c r="C24" s="2" t="s">
        <v>33</v>
      </c>
      <c r="D24" s="2" t="s">
        <v>42</v>
      </c>
      <c r="E24" s="2" t="s">
        <v>21</v>
      </c>
      <c r="F24" s="2" t="s">
        <v>48</v>
      </c>
      <c r="G24" s="2">
        <v>6</v>
      </c>
      <c r="H24" s="2">
        <v>1959.9</v>
      </c>
      <c r="I24" s="2">
        <v>0.1</v>
      </c>
      <c r="J24" s="2">
        <v>10583.44</v>
      </c>
      <c r="K24" s="2">
        <v>2889.4</v>
      </c>
      <c r="L24" s="2" t="s">
        <v>23</v>
      </c>
      <c r="M24" s="2">
        <f t="shared" si="0"/>
        <v>11759.400000000001</v>
      </c>
    </row>
    <row r="25" spans="1:13" x14ac:dyDescent="0.35">
      <c r="A25" s="2" t="s">
        <v>64</v>
      </c>
      <c r="B25" s="3">
        <v>45087</v>
      </c>
      <c r="C25" s="2" t="s">
        <v>36</v>
      </c>
      <c r="D25" s="2" t="s">
        <v>20</v>
      </c>
      <c r="E25" s="2" t="s">
        <v>25</v>
      </c>
      <c r="F25" s="2" t="s">
        <v>26</v>
      </c>
      <c r="G25" s="2">
        <v>1</v>
      </c>
      <c r="H25" s="2">
        <v>470.96</v>
      </c>
      <c r="I25" s="2">
        <v>0.2</v>
      </c>
      <c r="J25" s="2">
        <v>376.77</v>
      </c>
      <c r="K25" s="2">
        <v>65.86</v>
      </c>
      <c r="L25" s="2" t="s">
        <v>30</v>
      </c>
      <c r="M25" s="2">
        <f t="shared" si="0"/>
        <v>470.96</v>
      </c>
    </row>
    <row r="26" spans="1:13" x14ac:dyDescent="0.35">
      <c r="A26" s="2" t="s">
        <v>65</v>
      </c>
      <c r="B26" s="3">
        <v>45240</v>
      </c>
      <c r="C26" s="2" t="s">
        <v>59</v>
      </c>
      <c r="D26" s="2" t="s">
        <v>42</v>
      </c>
      <c r="E26" s="2" t="s">
        <v>25</v>
      </c>
      <c r="F26" s="2" t="s">
        <v>55</v>
      </c>
      <c r="G26" s="2">
        <v>5</v>
      </c>
      <c r="H26" s="2">
        <v>1778.64</v>
      </c>
      <c r="I26" s="2">
        <v>0.15</v>
      </c>
      <c r="J26" s="2">
        <v>7559.21</v>
      </c>
      <c r="K26" s="2">
        <v>407.17</v>
      </c>
      <c r="L26" s="2" t="s">
        <v>34</v>
      </c>
      <c r="M26" s="2">
        <f t="shared" si="0"/>
        <v>8893.2000000000007</v>
      </c>
    </row>
    <row r="27" spans="1:13" x14ac:dyDescent="0.35">
      <c r="A27" s="2" t="s">
        <v>66</v>
      </c>
      <c r="B27" s="3">
        <v>44948</v>
      </c>
      <c r="C27" s="2" t="s">
        <v>13</v>
      </c>
      <c r="D27" s="2" t="s">
        <v>39</v>
      </c>
      <c r="E27" s="2" t="s">
        <v>21</v>
      </c>
      <c r="F27" s="2" t="s">
        <v>22</v>
      </c>
      <c r="G27" s="2">
        <v>3</v>
      </c>
      <c r="H27" s="2">
        <v>1962.63</v>
      </c>
      <c r="I27" s="2">
        <v>0.15</v>
      </c>
      <c r="J27" s="2">
        <v>5004.71</v>
      </c>
      <c r="K27" s="2">
        <v>618.64</v>
      </c>
      <c r="L27" s="2" t="s">
        <v>17</v>
      </c>
      <c r="M27" s="2">
        <f t="shared" si="0"/>
        <v>5887.89</v>
      </c>
    </row>
    <row r="28" spans="1:13" x14ac:dyDescent="0.35">
      <c r="A28" s="2" t="s">
        <v>67</v>
      </c>
      <c r="B28" s="3">
        <v>45179</v>
      </c>
      <c r="C28" s="2" t="s">
        <v>59</v>
      </c>
      <c r="D28" s="2" t="s">
        <v>14</v>
      </c>
      <c r="E28" s="2" t="s">
        <v>25</v>
      </c>
      <c r="F28" s="2" t="s">
        <v>26</v>
      </c>
      <c r="G28" s="2">
        <v>2</v>
      </c>
      <c r="H28" s="2">
        <v>1157.92</v>
      </c>
      <c r="I28" s="2">
        <v>0.05</v>
      </c>
      <c r="J28" s="2">
        <v>2200.0500000000002</v>
      </c>
      <c r="K28" s="2">
        <v>621.52</v>
      </c>
      <c r="L28" s="2" t="s">
        <v>30</v>
      </c>
      <c r="M28" s="2">
        <f t="shared" si="0"/>
        <v>2315.84</v>
      </c>
    </row>
    <row r="29" spans="1:13" x14ac:dyDescent="0.35">
      <c r="A29" s="2" t="s">
        <v>68</v>
      </c>
      <c r="B29" s="3">
        <v>45162</v>
      </c>
      <c r="C29" s="2" t="s">
        <v>28</v>
      </c>
      <c r="D29" s="2" t="s">
        <v>42</v>
      </c>
      <c r="E29" s="2" t="s">
        <v>15</v>
      </c>
      <c r="F29" s="2" t="s">
        <v>40</v>
      </c>
      <c r="G29" s="2">
        <v>7</v>
      </c>
      <c r="H29" s="2">
        <v>366.16</v>
      </c>
      <c r="I29" s="2">
        <v>0.1</v>
      </c>
      <c r="J29" s="2">
        <v>2306.81</v>
      </c>
      <c r="K29" s="2">
        <v>285.63</v>
      </c>
      <c r="L29" s="2" t="s">
        <v>30</v>
      </c>
      <c r="M29" s="2">
        <f t="shared" si="0"/>
        <v>2563.1200000000003</v>
      </c>
    </row>
    <row r="30" spans="1:13" x14ac:dyDescent="0.35">
      <c r="A30" s="2" t="s">
        <v>69</v>
      </c>
      <c r="B30" s="3">
        <v>45271</v>
      </c>
      <c r="C30" s="2" t="s">
        <v>28</v>
      </c>
      <c r="D30" s="2" t="s">
        <v>20</v>
      </c>
      <c r="E30" s="2" t="s">
        <v>25</v>
      </c>
      <c r="F30" s="2" t="s">
        <v>55</v>
      </c>
      <c r="G30" s="2">
        <v>6</v>
      </c>
      <c r="H30" s="2">
        <v>783.03</v>
      </c>
      <c r="I30" s="2">
        <v>0.2</v>
      </c>
      <c r="J30" s="2">
        <v>3758.56</v>
      </c>
      <c r="K30" s="2">
        <v>466.54</v>
      </c>
      <c r="L30" s="2" t="s">
        <v>23</v>
      </c>
      <c r="M30" s="2">
        <f t="shared" si="0"/>
        <v>4698.18</v>
      </c>
    </row>
    <row r="31" spans="1:13" x14ac:dyDescent="0.35">
      <c r="A31" s="2" t="s">
        <v>70</v>
      </c>
      <c r="B31" s="3">
        <v>44975</v>
      </c>
      <c r="C31" s="2" t="s">
        <v>59</v>
      </c>
      <c r="D31" s="2" t="s">
        <v>39</v>
      </c>
      <c r="E31" s="2" t="s">
        <v>25</v>
      </c>
      <c r="F31" s="2" t="s">
        <v>55</v>
      </c>
      <c r="G31" s="2">
        <v>7</v>
      </c>
      <c r="H31" s="2">
        <v>1052.8800000000001</v>
      </c>
      <c r="I31" s="2">
        <v>0.2</v>
      </c>
      <c r="J31" s="2">
        <v>5896.13</v>
      </c>
      <c r="K31" s="2">
        <v>581.16999999999996</v>
      </c>
      <c r="L31" s="2" t="s">
        <v>23</v>
      </c>
      <c r="M31" s="2">
        <f t="shared" si="0"/>
        <v>7370.1600000000008</v>
      </c>
    </row>
    <row r="32" spans="1:13" x14ac:dyDescent="0.35">
      <c r="A32" s="2" t="s">
        <v>71</v>
      </c>
      <c r="B32" s="3">
        <v>44985</v>
      </c>
      <c r="C32" s="2" t="s">
        <v>19</v>
      </c>
      <c r="D32" s="2" t="s">
        <v>20</v>
      </c>
      <c r="E32" s="2" t="s">
        <v>21</v>
      </c>
      <c r="F32" s="2" t="s">
        <v>45</v>
      </c>
      <c r="G32" s="2">
        <v>7</v>
      </c>
      <c r="H32" s="2">
        <v>152.47</v>
      </c>
      <c r="I32" s="2">
        <v>0.05</v>
      </c>
      <c r="J32" s="2">
        <v>1013.94</v>
      </c>
      <c r="K32" s="2">
        <v>74.52</v>
      </c>
      <c r="L32" s="2" t="s">
        <v>23</v>
      </c>
      <c r="M32" s="2">
        <f t="shared" si="0"/>
        <v>1067.29</v>
      </c>
    </row>
    <row r="33" spans="1:13" x14ac:dyDescent="0.35">
      <c r="A33" s="2" t="s">
        <v>72</v>
      </c>
      <c r="B33" s="3">
        <v>45096</v>
      </c>
      <c r="C33" s="2" t="s">
        <v>51</v>
      </c>
      <c r="D33" s="2" t="s">
        <v>20</v>
      </c>
      <c r="E33" s="2" t="s">
        <v>15</v>
      </c>
      <c r="F33" s="2" t="s">
        <v>29</v>
      </c>
      <c r="G33" s="2">
        <v>6</v>
      </c>
      <c r="H33" s="2">
        <v>1222.58</v>
      </c>
      <c r="I33" s="2">
        <v>0</v>
      </c>
      <c r="J33" s="2">
        <v>7335.5</v>
      </c>
      <c r="K33" s="2">
        <v>435.27</v>
      </c>
      <c r="L33" s="2" t="s">
        <v>23</v>
      </c>
      <c r="M33" s="2">
        <f t="shared" si="0"/>
        <v>7335.48</v>
      </c>
    </row>
    <row r="34" spans="1:13" x14ac:dyDescent="0.35">
      <c r="A34" s="2" t="s">
        <v>73</v>
      </c>
      <c r="B34" s="3">
        <v>45114</v>
      </c>
      <c r="C34" s="2" t="s">
        <v>13</v>
      </c>
      <c r="D34" s="2" t="s">
        <v>20</v>
      </c>
      <c r="E34" s="2" t="s">
        <v>15</v>
      </c>
      <c r="F34" s="2" t="s">
        <v>29</v>
      </c>
      <c r="G34" s="2">
        <v>1</v>
      </c>
      <c r="H34" s="2">
        <v>1672.95</v>
      </c>
      <c r="I34" s="2">
        <v>0.15</v>
      </c>
      <c r="J34" s="2">
        <v>1422.01</v>
      </c>
      <c r="K34" s="2">
        <v>147.83000000000001</v>
      </c>
      <c r="L34" s="2" t="s">
        <v>30</v>
      </c>
      <c r="M34" s="2">
        <f t="shared" si="0"/>
        <v>1672.95</v>
      </c>
    </row>
    <row r="35" spans="1:13" x14ac:dyDescent="0.35">
      <c r="A35" s="2" t="s">
        <v>74</v>
      </c>
      <c r="B35" s="3">
        <v>45197</v>
      </c>
      <c r="C35" s="2" t="s">
        <v>36</v>
      </c>
      <c r="D35" s="2" t="s">
        <v>39</v>
      </c>
      <c r="E35" s="2" t="s">
        <v>21</v>
      </c>
      <c r="F35" s="2" t="s">
        <v>22</v>
      </c>
      <c r="G35" s="2">
        <v>4</v>
      </c>
      <c r="H35" s="2">
        <v>881.57</v>
      </c>
      <c r="I35" s="2">
        <v>0.1</v>
      </c>
      <c r="J35" s="2">
        <v>3173.66</v>
      </c>
      <c r="K35" s="2">
        <v>664.43</v>
      </c>
      <c r="L35" s="2" t="s">
        <v>34</v>
      </c>
      <c r="M35" s="2">
        <f t="shared" si="0"/>
        <v>3526.28</v>
      </c>
    </row>
    <row r="36" spans="1:13" x14ac:dyDescent="0.35">
      <c r="A36" s="2" t="s">
        <v>75</v>
      </c>
      <c r="B36" s="3">
        <v>45116</v>
      </c>
      <c r="C36" s="2" t="s">
        <v>19</v>
      </c>
      <c r="D36" s="2" t="s">
        <v>14</v>
      </c>
      <c r="E36" s="2" t="s">
        <v>21</v>
      </c>
      <c r="F36" s="2" t="s">
        <v>48</v>
      </c>
      <c r="G36" s="2">
        <v>3</v>
      </c>
      <c r="H36" s="2">
        <v>1610.85</v>
      </c>
      <c r="I36" s="2">
        <v>0.1</v>
      </c>
      <c r="J36" s="2">
        <v>4349.3100000000004</v>
      </c>
      <c r="K36" s="2">
        <v>694.77</v>
      </c>
      <c r="L36" s="2" t="s">
        <v>34</v>
      </c>
      <c r="M36" s="2">
        <f t="shared" si="0"/>
        <v>4832.5499999999993</v>
      </c>
    </row>
    <row r="37" spans="1:13" x14ac:dyDescent="0.35">
      <c r="A37" s="2" t="s">
        <v>76</v>
      </c>
      <c r="B37" s="3">
        <v>45101</v>
      </c>
      <c r="C37" s="2" t="s">
        <v>28</v>
      </c>
      <c r="D37" s="2" t="s">
        <v>14</v>
      </c>
      <c r="E37" s="2" t="s">
        <v>21</v>
      </c>
      <c r="F37" s="2" t="s">
        <v>22</v>
      </c>
      <c r="G37" s="2">
        <v>7</v>
      </c>
      <c r="H37" s="2">
        <v>913.8</v>
      </c>
      <c r="I37" s="2">
        <v>0.15</v>
      </c>
      <c r="J37" s="2">
        <v>5437.1</v>
      </c>
      <c r="K37" s="2">
        <v>827.73</v>
      </c>
      <c r="L37" s="2" t="s">
        <v>34</v>
      </c>
      <c r="M37" s="2">
        <f t="shared" si="0"/>
        <v>6396.5999999999995</v>
      </c>
    </row>
    <row r="38" spans="1:13" x14ac:dyDescent="0.35">
      <c r="A38" s="2" t="s">
        <v>77</v>
      </c>
      <c r="B38" s="3">
        <v>44977</v>
      </c>
      <c r="C38" s="2" t="s">
        <v>19</v>
      </c>
      <c r="D38" s="2" t="s">
        <v>39</v>
      </c>
      <c r="E38" s="2" t="s">
        <v>15</v>
      </c>
      <c r="F38" s="2" t="s">
        <v>40</v>
      </c>
      <c r="G38" s="2">
        <v>6</v>
      </c>
      <c r="H38" s="2">
        <v>1457.73</v>
      </c>
      <c r="I38" s="2">
        <v>0.2</v>
      </c>
      <c r="J38" s="2">
        <v>6997.11</v>
      </c>
      <c r="K38" s="2">
        <v>839.54</v>
      </c>
      <c r="L38" s="2" t="s">
        <v>17</v>
      </c>
      <c r="M38" s="2">
        <f t="shared" si="0"/>
        <v>8746.380000000001</v>
      </c>
    </row>
    <row r="39" spans="1:13" x14ac:dyDescent="0.35">
      <c r="A39" s="2" t="s">
        <v>78</v>
      </c>
      <c r="B39" s="3">
        <v>45290</v>
      </c>
      <c r="C39" s="2" t="s">
        <v>13</v>
      </c>
      <c r="D39" s="2" t="s">
        <v>14</v>
      </c>
      <c r="E39" s="2" t="s">
        <v>25</v>
      </c>
      <c r="F39" s="2" t="s">
        <v>52</v>
      </c>
      <c r="G39" s="2">
        <v>7</v>
      </c>
      <c r="H39" s="2">
        <v>190.66</v>
      </c>
      <c r="I39" s="2">
        <v>0.05</v>
      </c>
      <c r="J39" s="2">
        <v>1267.8900000000001</v>
      </c>
      <c r="K39" s="2">
        <v>176.23</v>
      </c>
      <c r="L39" s="2" t="s">
        <v>34</v>
      </c>
      <c r="M39" s="2">
        <f t="shared" si="0"/>
        <v>1334.62</v>
      </c>
    </row>
    <row r="40" spans="1:13" x14ac:dyDescent="0.35">
      <c r="A40" s="2" t="s">
        <v>79</v>
      </c>
      <c r="B40" s="3">
        <v>44981</v>
      </c>
      <c r="C40" s="2" t="s">
        <v>28</v>
      </c>
      <c r="D40" s="2" t="s">
        <v>14</v>
      </c>
      <c r="E40" s="2" t="s">
        <v>25</v>
      </c>
      <c r="F40" s="2" t="s">
        <v>52</v>
      </c>
      <c r="G40" s="2">
        <v>5</v>
      </c>
      <c r="H40" s="2">
        <v>278.89999999999998</v>
      </c>
      <c r="I40" s="2">
        <v>0.15</v>
      </c>
      <c r="J40" s="2">
        <v>1185.32</v>
      </c>
      <c r="K40" s="2">
        <v>111.22</v>
      </c>
      <c r="L40" s="2" t="s">
        <v>30</v>
      </c>
      <c r="M40" s="2">
        <f t="shared" si="0"/>
        <v>1394.5</v>
      </c>
    </row>
    <row r="41" spans="1:13" x14ac:dyDescent="0.35">
      <c r="A41" s="2" t="s">
        <v>80</v>
      </c>
      <c r="B41" s="3">
        <v>45170</v>
      </c>
      <c r="C41" s="2" t="s">
        <v>28</v>
      </c>
      <c r="D41" s="2" t="s">
        <v>14</v>
      </c>
      <c r="E41" s="2" t="s">
        <v>25</v>
      </c>
      <c r="F41" s="2" t="s">
        <v>26</v>
      </c>
      <c r="G41" s="2">
        <v>4</v>
      </c>
      <c r="H41" s="2">
        <v>429.08</v>
      </c>
      <c r="I41" s="2">
        <v>0.2</v>
      </c>
      <c r="J41" s="2">
        <v>1373.07</v>
      </c>
      <c r="K41" s="2">
        <v>205.45</v>
      </c>
      <c r="L41" s="2" t="s">
        <v>34</v>
      </c>
      <c r="M41" s="2">
        <f t="shared" si="0"/>
        <v>1716.32</v>
      </c>
    </row>
    <row r="42" spans="1:13" x14ac:dyDescent="0.35">
      <c r="A42" s="2" t="s">
        <v>81</v>
      </c>
      <c r="B42" s="3">
        <v>45246</v>
      </c>
      <c r="C42" s="2" t="s">
        <v>36</v>
      </c>
      <c r="D42" s="2" t="s">
        <v>39</v>
      </c>
      <c r="E42" s="2" t="s">
        <v>21</v>
      </c>
      <c r="F42" s="2" t="s">
        <v>45</v>
      </c>
      <c r="G42" s="2">
        <v>3</v>
      </c>
      <c r="H42" s="2">
        <v>1055.96</v>
      </c>
      <c r="I42" s="2">
        <v>0</v>
      </c>
      <c r="J42" s="2">
        <v>3167.88</v>
      </c>
      <c r="K42" s="2">
        <v>585.55999999999995</v>
      </c>
      <c r="L42" s="2" t="s">
        <v>30</v>
      </c>
      <c r="M42" s="2">
        <f t="shared" si="0"/>
        <v>3167.88</v>
      </c>
    </row>
    <row r="43" spans="1:13" x14ac:dyDescent="0.35">
      <c r="A43" s="2" t="s">
        <v>82</v>
      </c>
      <c r="B43" s="3">
        <v>45057</v>
      </c>
      <c r="C43" s="2" t="s">
        <v>33</v>
      </c>
      <c r="D43" s="2" t="s">
        <v>20</v>
      </c>
      <c r="E43" s="2" t="s">
        <v>15</v>
      </c>
      <c r="F43" s="2" t="s">
        <v>40</v>
      </c>
      <c r="G43" s="2">
        <v>1</v>
      </c>
      <c r="H43" s="2">
        <v>1747.68</v>
      </c>
      <c r="I43" s="2">
        <v>0.1</v>
      </c>
      <c r="J43" s="2">
        <v>1572.91</v>
      </c>
      <c r="K43" s="2">
        <v>393.6</v>
      </c>
      <c r="L43" s="2" t="s">
        <v>30</v>
      </c>
      <c r="M43" s="2">
        <f t="shared" si="0"/>
        <v>1747.68</v>
      </c>
    </row>
    <row r="44" spans="1:13" x14ac:dyDescent="0.35">
      <c r="A44" s="2" t="s">
        <v>83</v>
      </c>
      <c r="B44" s="3">
        <v>45233</v>
      </c>
      <c r="C44" s="2" t="s">
        <v>44</v>
      </c>
      <c r="D44" s="2" t="s">
        <v>39</v>
      </c>
      <c r="E44" s="2" t="s">
        <v>25</v>
      </c>
      <c r="F44" s="2" t="s">
        <v>55</v>
      </c>
      <c r="G44" s="2">
        <v>3</v>
      </c>
      <c r="H44" s="2">
        <v>1659.22</v>
      </c>
      <c r="I44" s="2">
        <v>0.15</v>
      </c>
      <c r="J44" s="2">
        <v>4231</v>
      </c>
      <c r="K44" s="2">
        <v>619.95000000000005</v>
      </c>
      <c r="L44" s="2" t="s">
        <v>23</v>
      </c>
      <c r="M44" s="2">
        <f t="shared" si="0"/>
        <v>4977.66</v>
      </c>
    </row>
    <row r="45" spans="1:13" x14ac:dyDescent="0.35">
      <c r="A45" s="2" t="s">
        <v>84</v>
      </c>
      <c r="B45" s="3">
        <v>45061</v>
      </c>
      <c r="C45" s="2" t="s">
        <v>44</v>
      </c>
      <c r="D45" s="2" t="s">
        <v>14</v>
      </c>
      <c r="E45" s="2" t="s">
        <v>15</v>
      </c>
      <c r="F45" s="2" t="s">
        <v>29</v>
      </c>
      <c r="G45" s="2">
        <v>2</v>
      </c>
      <c r="H45" s="2">
        <v>174.03</v>
      </c>
      <c r="I45" s="2">
        <v>0.05</v>
      </c>
      <c r="J45" s="2">
        <v>330.66</v>
      </c>
      <c r="K45" s="2">
        <v>72.989999999999995</v>
      </c>
      <c r="L45" s="2" t="s">
        <v>30</v>
      </c>
      <c r="M45" s="2">
        <f t="shared" si="0"/>
        <v>348.06</v>
      </c>
    </row>
    <row r="46" spans="1:13" x14ac:dyDescent="0.35">
      <c r="A46" s="2" t="s">
        <v>85</v>
      </c>
      <c r="B46" s="3">
        <v>44947</v>
      </c>
      <c r="C46" s="2" t="s">
        <v>33</v>
      </c>
      <c r="D46" s="2" t="s">
        <v>42</v>
      </c>
      <c r="E46" s="2" t="s">
        <v>25</v>
      </c>
      <c r="F46" s="2" t="s">
        <v>52</v>
      </c>
      <c r="G46" s="2">
        <v>2</v>
      </c>
      <c r="H46" s="2">
        <v>595.32000000000005</v>
      </c>
      <c r="I46" s="2">
        <v>0.15</v>
      </c>
      <c r="J46" s="2">
        <v>1012.04</v>
      </c>
      <c r="K46" s="2">
        <v>225.91</v>
      </c>
      <c r="L46" s="2" t="s">
        <v>17</v>
      </c>
      <c r="M46" s="2">
        <f t="shared" si="0"/>
        <v>1190.6400000000001</v>
      </c>
    </row>
    <row r="47" spans="1:13" x14ac:dyDescent="0.35">
      <c r="A47" s="2" t="s">
        <v>86</v>
      </c>
      <c r="B47" s="3">
        <v>45255</v>
      </c>
      <c r="C47" s="2" t="s">
        <v>38</v>
      </c>
      <c r="D47" s="2" t="s">
        <v>39</v>
      </c>
      <c r="E47" s="2" t="s">
        <v>25</v>
      </c>
      <c r="F47" s="2" t="s">
        <v>55</v>
      </c>
      <c r="G47" s="2">
        <v>5</v>
      </c>
      <c r="H47" s="2">
        <v>1938.4</v>
      </c>
      <c r="I47" s="2">
        <v>0.15</v>
      </c>
      <c r="J47" s="2">
        <v>8238.2099999999991</v>
      </c>
      <c r="K47" s="2">
        <v>777.36</v>
      </c>
      <c r="L47" s="2" t="s">
        <v>30</v>
      </c>
      <c r="M47" s="2">
        <f t="shared" si="0"/>
        <v>9692</v>
      </c>
    </row>
    <row r="48" spans="1:13" x14ac:dyDescent="0.35">
      <c r="A48" s="2" t="s">
        <v>87</v>
      </c>
      <c r="B48" s="3">
        <v>45093</v>
      </c>
      <c r="C48" s="2" t="s">
        <v>59</v>
      </c>
      <c r="D48" s="2" t="s">
        <v>20</v>
      </c>
      <c r="E48" s="2" t="s">
        <v>15</v>
      </c>
      <c r="F48" s="2" t="s">
        <v>29</v>
      </c>
      <c r="G48" s="2">
        <v>3</v>
      </c>
      <c r="H48" s="2">
        <v>883.97</v>
      </c>
      <c r="I48" s="2">
        <v>0.05</v>
      </c>
      <c r="J48" s="2">
        <v>2519.3200000000002</v>
      </c>
      <c r="K48" s="2">
        <v>283.43</v>
      </c>
      <c r="L48" s="2" t="s">
        <v>23</v>
      </c>
      <c r="M48" s="2">
        <f t="shared" si="0"/>
        <v>2651.91</v>
      </c>
    </row>
    <row r="49" spans="1:13" x14ac:dyDescent="0.35">
      <c r="A49" s="2" t="s">
        <v>88</v>
      </c>
      <c r="B49" s="3">
        <v>45200</v>
      </c>
      <c r="C49" s="2" t="s">
        <v>44</v>
      </c>
      <c r="D49" s="2" t="s">
        <v>42</v>
      </c>
      <c r="E49" s="2" t="s">
        <v>25</v>
      </c>
      <c r="F49" s="2" t="s">
        <v>55</v>
      </c>
      <c r="G49" s="2">
        <v>7</v>
      </c>
      <c r="H49" s="2">
        <v>1526.66</v>
      </c>
      <c r="I49" s="2">
        <v>0</v>
      </c>
      <c r="J49" s="2">
        <v>10686.59</v>
      </c>
      <c r="K49" s="2">
        <v>1170.81</v>
      </c>
      <c r="L49" s="2" t="s">
        <v>23</v>
      </c>
      <c r="M49" s="2">
        <f t="shared" si="0"/>
        <v>10686.62</v>
      </c>
    </row>
    <row r="50" spans="1:13" x14ac:dyDescent="0.35">
      <c r="A50" s="2" t="s">
        <v>89</v>
      </c>
      <c r="B50" s="3">
        <v>45015</v>
      </c>
      <c r="C50" s="2" t="s">
        <v>90</v>
      </c>
      <c r="D50" s="2" t="s">
        <v>39</v>
      </c>
      <c r="E50" s="2" t="s">
        <v>25</v>
      </c>
      <c r="F50" s="2" t="s">
        <v>52</v>
      </c>
      <c r="G50" s="2">
        <v>3</v>
      </c>
      <c r="H50" s="2">
        <v>839.48</v>
      </c>
      <c r="I50" s="2">
        <v>0.15</v>
      </c>
      <c r="J50" s="2">
        <v>2140.6799999999998</v>
      </c>
      <c r="K50" s="2">
        <v>620.02</v>
      </c>
      <c r="L50" s="2" t="s">
        <v>34</v>
      </c>
      <c r="M50" s="2">
        <f t="shared" si="0"/>
        <v>2518.44</v>
      </c>
    </row>
    <row r="51" spans="1:13" x14ac:dyDescent="0.35">
      <c r="A51" s="2" t="s">
        <v>91</v>
      </c>
      <c r="B51" s="3">
        <v>45242</v>
      </c>
      <c r="C51" s="2" t="s">
        <v>38</v>
      </c>
      <c r="D51" s="2" t="s">
        <v>39</v>
      </c>
      <c r="E51" s="2" t="s">
        <v>15</v>
      </c>
      <c r="F51" s="2" t="s">
        <v>40</v>
      </c>
      <c r="G51" s="2">
        <v>4</v>
      </c>
      <c r="H51" s="2">
        <v>1189.53</v>
      </c>
      <c r="I51" s="2">
        <v>0.2</v>
      </c>
      <c r="J51" s="2">
        <v>3806.5</v>
      </c>
      <c r="K51" s="2">
        <v>277.58999999999997</v>
      </c>
      <c r="L51" s="2" t="s">
        <v>17</v>
      </c>
      <c r="M51" s="2">
        <f t="shared" si="0"/>
        <v>4758.12</v>
      </c>
    </row>
    <row r="52" spans="1:13" x14ac:dyDescent="0.35">
      <c r="A52" s="2" t="s">
        <v>92</v>
      </c>
      <c r="B52" s="3">
        <v>44940</v>
      </c>
      <c r="C52" s="2" t="s">
        <v>28</v>
      </c>
      <c r="D52" s="2" t="s">
        <v>20</v>
      </c>
      <c r="E52" s="2" t="s">
        <v>25</v>
      </c>
      <c r="F52" s="2" t="s">
        <v>55</v>
      </c>
      <c r="G52" s="2">
        <v>7</v>
      </c>
      <c r="H52" s="2">
        <v>1584.46</v>
      </c>
      <c r="I52" s="2">
        <v>0.2</v>
      </c>
      <c r="J52" s="2">
        <v>8872.99</v>
      </c>
      <c r="K52" s="2">
        <v>2508.6799999999998</v>
      </c>
      <c r="L52" s="2" t="s">
        <v>23</v>
      </c>
      <c r="M52" s="2">
        <f t="shared" si="0"/>
        <v>11091.220000000001</v>
      </c>
    </row>
    <row r="53" spans="1:13" x14ac:dyDescent="0.35">
      <c r="A53" s="2" t="s">
        <v>93</v>
      </c>
      <c r="B53" s="3">
        <v>45168</v>
      </c>
      <c r="C53" s="2" t="s">
        <v>33</v>
      </c>
      <c r="D53" s="2" t="s">
        <v>20</v>
      </c>
      <c r="E53" s="2" t="s">
        <v>15</v>
      </c>
      <c r="F53" s="2" t="s">
        <v>40</v>
      </c>
      <c r="G53" s="2">
        <v>5</v>
      </c>
      <c r="H53" s="2">
        <v>1500.37</v>
      </c>
      <c r="I53" s="2">
        <v>0.2</v>
      </c>
      <c r="J53" s="2">
        <v>6001.47</v>
      </c>
      <c r="K53" s="2">
        <v>826.58</v>
      </c>
      <c r="L53" s="2" t="s">
        <v>30</v>
      </c>
      <c r="M53" s="2">
        <f t="shared" si="0"/>
        <v>7501.8499999999995</v>
      </c>
    </row>
    <row r="54" spans="1:13" x14ac:dyDescent="0.35">
      <c r="A54" s="2" t="s">
        <v>94</v>
      </c>
      <c r="B54" s="3">
        <v>45191</v>
      </c>
      <c r="C54" s="2" t="s">
        <v>38</v>
      </c>
      <c r="D54" s="2" t="s">
        <v>14</v>
      </c>
      <c r="E54" s="2" t="s">
        <v>25</v>
      </c>
      <c r="F54" s="2" t="s">
        <v>52</v>
      </c>
      <c r="G54" s="2">
        <v>1</v>
      </c>
      <c r="H54" s="2">
        <v>292.13</v>
      </c>
      <c r="I54" s="2">
        <v>0.2</v>
      </c>
      <c r="J54" s="2">
        <v>233.71</v>
      </c>
      <c r="K54" s="2">
        <v>24.69</v>
      </c>
      <c r="L54" s="2" t="s">
        <v>17</v>
      </c>
      <c r="M54" s="2">
        <f t="shared" si="0"/>
        <v>292.13</v>
      </c>
    </row>
    <row r="55" spans="1:13" x14ac:dyDescent="0.35">
      <c r="A55" s="2" t="s">
        <v>95</v>
      </c>
      <c r="B55" s="3">
        <v>45272</v>
      </c>
      <c r="C55" s="2" t="s">
        <v>44</v>
      </c>
      <c r="D55" s="2" t="s">
        <v>14</v>
      </c>
      <c r="E55" s="2" t="s">
        <v>21</v>
      </c>
      <c r="F55" s="2" t="s">
        <v>48</v>
      </c>
      <c r="G55" s="2">
        <v>5</v>
      </c>
      <c r="H55" s="2">
        <v>1075.32</v>
      </c>
      <c r="I55" s="2">
        <v>0.1</v>
      </c>
      <c r="J55" s="2">
        <v>4838.9399999999996</v>
      </c>
      <c r="K55" s="2">
        <v>945.17</v>
      </c>
      <c r="L55" s="2" t="s">
        <v>30</v>
      </c>
      <c r="M55" s="2">
        <f t="shared" si="0"/>
        <v>5376.5999999999995</v>
      </c>
    </row>
    <row r="56" spans="1:13" x14ac:dyDescent="0.35">
      <c r="A56" s="2" t="s">
        <v>96</v>
      </c>
      <c r="B56" s="3">
        <v>44979</v>
      </c>
      <c r="C56" s="2" t="s">
        <v>90</v>
      </c>
      <c r="D56" s="2" t="s">
        <v>42</v>
      </c>
      <c r="E56" s="2" t="s">
        <v>25</v>
      </c>
      <c r="F56" s="2" t="s">
        <v>26</v>
      </c>
      <c r="G56" s="2">
        <v>7</v>
      </c>
      <c r="H56" s="2">
        <v>1973.4</v>
      </c>
      <c r="I56" s="2">
        <v>0.15</v>
      </c>
      <c r="J56" s="2">
        <v>11741.74</v>
      </c>
      <c r="K56" s="2">
        <v>1615.13</v>
      </c>
      <c r="L56" s="2" t="s">
        <v>30</v>
      </c>
      <c r="M56" s="2">
        <f t="shared" si="0"/>
        <v>13813.800000000001</v>
      </c>
    </row>
    <row r="57" spans="1:13" x14ac:dyDescent="0.35">
      <c r="A57" s="2" t="s">
        <v>97</v>
      </c>
      <c r="B57" s="3">
        <v>45266</v>
      </c>
      <c r="C57" s="2" t="s">
        <v>33</v>
      </c>
      <c r="D57" s="2" t="s">
        <v>39</v>
      </c>
      <c r="E57" s="2" t="s">
        <v>21</v>
      </c>
      <c r="F57" s="2" t="s">
        <v>45</v>
      </c>
      <c r="G57" s="2">
        <v>3</v>
      </c>
      <c r="H57" s="2">
        <v>311.27999999999997</v>
      </c>
      <c r="I57" s="2">
        <v>0.1</v>
      </c>
      <c r="J57" s="2">
        <v>840.44</v>
      </c>
      <c r="K57" s="2">
        <v>95.32</v>
      </c>
      <c r="L57" s="2" t="s">
        <v>23</v>
      </c>
      <c r="M57" s="2">
        <f t="shared" si="0"/>
        <v>933.83999999999992</v>
      </c>
    </row>
    <row r="58" spans="1:13" x14ac:dyDescent="0.35">
      <c r="A58" s="2" t="s">
        <v>98</v>
      </c>
      <c r="B58" s="3">
        <v>45018</v>
      </c>
      <c r="C58" s="2" t="s">
        <v>38</v>
      </c>
      <c r="D58" s="2" t="s">
        <v>20</v>
      </c>
      <c r="E58" s="2" t="s">
        <v>21</v>
      </c>
      <c r="F58" s="2" t="s">
        <v>22</v>
      </c>
      <c r="G58" s="2">
        <v>9</v>
      </c>
      <c r="H58" s="2">
        <v>1514</v>
      </c>
      <c r="I58" s="2">
        <v>0.1</v>
      </c>
      <c r="J58" s="2">
        <v>12263.42</v>
      </c>
      <c r="K58" s="2">
        <v>2401.69</v>
      </c>
      <c r="L58" s="2" t="s">
        <v>30</v>
      </c>
      <c r="M58" s="2">
        <f t="shared" si="0"/>
        <v>13626</v>
      </c>
    </row>
    <row r="59" spans="1:13" x14ac:dyDescent="0.35">
      <c r="A59" s="2" t="s">
        <v>99</v>
      </c>
      <c r="B59" s="3">
        <v>45190</v>
      </c>
      <c r="C59" s="2" t="s">
        <v>13</v>
      </c>
      <c r="D59" s="2" t="s">
        <v>39</v>
      </c>
      <c r="E59" s="2" t="s">
        <v>25</v>
      </c>
      <c r="F59" s="2" t="s">
        <v>55</v>
      </c>
      <c r="G59" s="2">
        <v>8</v>
      </c>
      <c r="H59" s="2">
        <v>1103.9000000000001</v>
      </c>
      <c r="I59" s="2">
        <v>0.2</v>
      </c>
      <c r="J59" s="2">
        <v>7064.98</v>
      </c>
      <c r="K59" s="2">
        <v>2054.54</v>
      </c>
      <c r="L59" s="2" t="s">
        <v>23</v>
      </c>
      <c r="M59" s="2">
        <f t="shared" si="0"/>
        <v>8831.2000000000007</v>
      </c>
    </row>
    <row r="60" spans="1:13" x14ac:dyDescent="0.35">
      <c r="A60" s="2" t="s">
        <v>100</v>
      </c>
      <c r="B60" s="3">
        <v>44961</v>
      </c>
      <c r="C60" s="2" t="s">
        <v>33</v>
      </c>
      <c r="D60" s="2" t="s">
        <v>20</v>
      </c>
      <c r="E60" s="2" t="s">
        <v>25</v>
      </c>
      <c r="F60" s="2" t="s">
        <v>26</v>
      </c>
      <c r="G60" s="2">
        <v>5</v>
      </c>
      <c r="H60" s="2">
        <v>580.67999999999995</v>
      </c>
      <c r="I60" s="2">
        <v>0.1</v>
      </c>
      <c r="J60" s="2">
        <v>2613.0700000000002</v>
      </c>
      <c r="K60" s="2">
        <v>763.87</v>
      </c>
      <c r="L60" s="2" t="s">
        <v>34</v>
      </c>
      <c r="M60" s="2">
        <f t="shared" si="0"/>
        <v>2903.3999999999996</v>
      </c>
    </row>
    <row r="61" spans="1:13" x14ac:dyDescent="0.35">
      <c r="A61" s="2" t="s">
        <v>101</v>
      </c>
      <c r="B61" s="3">
        <v>45132</v>
      </c>
      <c r="C61" s="2" t="s">
        <v>38</v>
      </c>
      <c r="D61" s="2" t="s">
        <v>20</v>
      </c>
      <c r="E61" s="2" t="s">
        <v>25</v>
      </c>
      <c r="F61" s="2" t="s">
        <v>52</v>
      </c>
      <c r="G61" s="2">
        <v>1</v>
      </c>
      <c r="H61" s="2">
        <v>1292.3599999999999</v>
      </c>
      <c r="I61" s="2">
        <v>0.1</v>
      </c>
      <c r="J61" s="2">
        <v>1163.1199999999999</v>
      </c>
      <c r="K61" s="2">
        <v>320.2</v>
      </c>
      <c r="L61" s="2" t="s">
        <v>30</v>
      </c>
      <c r="M61" s="2">
        <f t="shared" si="0"/>
        <v>1292.3599999999999</v>
      </c>
    </row>
    <row r="62" spans="1:13" x14ac:dyDescent="0.35">
      <c r="A62" s="2" t="s">
        <v>102</v>
      </c>
      <c r="B62" s="3">
        <v>45007</v>
      </c>
      <c r="C62" s="2" t="s">
        <v>28</v>
      </c>
      <c r="D62" s="2" t="s">
        <v>39</v>
      </c>
      <c r="E62" s="2" t="s">
        <v>21</v>
      </c>
      <c r="F62" s="2" t="s">
        <v>48</v>
      </c>
      <c r="G62" s="2">
        <v>8</v>
      </c>
      <c r="H62" s="2">
        <v>1278.25</v>
      </c>
      <c r="I62" s="2">
        <v>0.05</v>
      </c>
      <c r="J62" s="2">
        <v>9714.7099999999991</v>
      </c>
      <c r="K62" s="2">
        <v>942.62</v>
      </c>
      <c r="L62" s="2" t="s">
        <v>23</v>
      </c>
      <c r="M62" s="2">
        <f t="shared" si="0"/>
        <v>10226</v>
      </c>
    </row>
    <row r="63" spans="1:13" x14ac:dyDescent="0.35">
      <c r="A63" s="2" t="s">
        <v>103</v>
      </c>
      <c r="B63" s="3">
        <v>44976</v>
      </c>
      <c r="C63" s="2" t="s">
        <v>44</v>
      </c>
      <c r="D63" s="2" t="s">
        <v>42</v>
      </c>
      <c r="E63" s="2" t="s">
        <v>21</v>
      </c>
      <c r="F63" s="2" t="s">
        <v>22</v>
      </c>
      <c r="G63" s="2">
        <v>9</v>
      </c>
      <c r="H63" s="2">
        <v>593.9</v>
      </c>
      <c r="I63" s="2">
        <v>0.1</v>
      </c>
      <c r="J63" s="2">
        <v>4810.63</v>
      </c>
      <c r="K63" s="2">
        <v>1080.18</v>
      </c>
      <c r="L63" s="2" t="s">
        <v>34</v>
      </c>
      <c r="M63" s="2">
        <f t="shared" si="0"/>
        <v>5345.0999999999995</v>
      </c>
    </row>
    <row r="64" spans="1:13" x14ac:dyDescent="0.35">
      <c r="A64" s="2" t="s">
        <v>104</v>
      </c>
      <c r="B64" s="3">
        <v>45286</v>
      </c>
      <c r="C64" s="2" t="s">
        <v>13</v>
      </c>
      <c r="D64" s="2" t="s">
        <v>20</v>
      </c>
      <c r="E64" s="2" t="s">
        <v>25</v>
      </c>
      <c r="F64" s="2" t="s">
        <v>55</v>
      </c>
      <c r="G64" s="2">
        <v>3</v>
      </c>
      <c r="H64" s="2">
        <v>1662.82</v>
      </c>
      <c r="I64" s="2">
        <v>0.05</v>
      </c>
      <c r="J64" s="2">
        <v>4739.04</v>
      </c>
      <c r="K64" s="2">
        <v>730.57</v>
      </c>
      <c r="L64" s="2" t="s">
        <v>34</v>
      </c>
      <c r="M64" s="2">
        <f t="shared" si="0"/>
        <v>4988.46</v>
      </c>
    </row>
    <row r="65" spans="1:13" x14ac:dyDescent="0.35">
      <c r="A65" s="2" t="s">
        <v>105</v>
      </c>
      <c r="B65" s="3">
        <v>44928</v>
      </c>
      <c r="C65" s="2" t="s">
        <v>19</v>
      </c>
      <c r="D65" s="2" t="s">
        <v>39</v>
      </c>
      <c r="E65" s="2" t="s">
        <v>21</v>
      </c>
      <c r="F65" s="2" t="s">
        <v>48</v>
      </c>
      <c r="G65" s="2">
        <v>8</v>
      </c>
      <c r="H65" s="2">
        <v>1765.66</v>
      </c>
      <c r="I65" s="2">
        <v>0.1</v>
      </c>
      <c r="J65" s="2">
        <v>12712.73</v>
      </c>
      <c r="K65" s="2">
        <v>779.35</v>
      </c>
      <c r="L65" s="2" t="s">
        <v>34</v>
      </c>
      <c r="M65" s="2">
        <f t="shared" si="0"/>
        <v>14125.28</v>
      </c>
    </row>
    <row r="66" spans="1:13" x14ac:dyDescent="0.35">
      <c r="A66" s="2" t="s">
        <v>106</v>
      </c>
      <c r="B66" s="3">
        <v>44980</v>
      </c>
      <c r="C66" s="2" t="s">
        <v>28</v>
      </c>
      <c r="D66" s="2" t="s">
        <v>20</v>
      </c>
      <c r="E66" s="2" t="s">
        <v>21</v>
      </c>
      <c r="F66" s="2" t="s">
        <v>22</v>
      </c>
      <c r="G66" s="2">
        <v>2</v>
      </c>
      <c r="H66" s="2">
        <v>1975.82</v>
      </c>
      <c r="I66" s="2">
        <v>0</v>
      </c>
      <c r="J66" s="2">
        <v>3951.65</v>
      </c>
      <c r="K66" s="2">
        <v>569.77</v>
      </c>
      <c r="L66" s="2" t="s">
        <v>34</v>
      </c>
      <c r="M66" s="2">
        <f t="shared" si="0"/>
        <v>3951.64</v>
      </c>
    </row>
    <row r="67" spans="1:13" x14ac:dyDescent="0.35">
      <c r="A67" s="2" t="s">
        <v>107</v>
      </c>
      <c r="B67" s="3">
        <v>45032</v>
      </c>
      <c r="C67" s="2" t="s">
        <v>44</v>
      </c>
      <c r="D67" s="2" t="s">
        <v>42</v>
      </c>
      <c r="E67" s="2" t="s">
        <v>21</v>
      </c>
      <c r="F67" s="2" t="s">
        <v>45</v>
      </c>
      <c r="G67" s="2">
        <v>1</v>
      </c>
      <c r="H67" s="2">
        <v>1692.82</v>
      </c>
      <c r="I67" s="2">
        <v>0.05</v>
      </c>
      <c r="J67" s="2">
        <v>1608.18</v>
      </c>
      <c r="K67" s="2">
        <v>95.21</v>
      </c>
      <c r="L67" s="2" t="s">
        <v>30</v>
      </c>
      <c r="M67" s="2">
        <f t="shared" ref="M67:M101" si="1">G67*H67</f>
        <v>1692.82</v>
      </c>
    </row>
    <row r="68" spans="1:13" x14ac:dyDescent="0.35">
      <c r="A68" s="2" t="s">
        <v>108</v>
      </c>
      <c r="B68" s="3">
        <v>45186</v>
      </c>
      <c r="C68" s="2" t="s">
        <v>13</v>
      </c>
      <c r="D68" s="2" t="s">
        <v>20</v>
      </c>
      <c r="E68" s="2" t="s">
        <v>15</v>
      </c>
      <c r="F68" s="2" t="s">
        <v>40</v>
      </c>
      <c r="G68" s="2">
        <v>1</v>
      </c>
      <c r="H68" s="2">
        <v>1115.26</v>
      </c>
      <c r="I68" s="2">
        <v>0.2</v>
      </c>
      <c r="J68" s="2">
        <v>892.21</v>
      </c>
      <c r="K68" s="2">
        <v>266.91000000000003</v>
      </c>
      <c r="L68" s="2" t="s">
        <v>34</v>
      </c>
      <c r="M68" s="2">
        <f t="shared" si="1"/>
        <v>1115.26</v>
      </c>
    </row>
    <row r="69" spans="1:13" x14ac:dyDescent="0.35">
      <c r="A69" s="2" t="s">
        <v>109</v>
      </c>
      <c r="B69" s="3">
        <v>45236</v>
      </c>
      <c r="C69" s="2" t="s">
        <v>90</v>
      </c>
      <c r="D69" s="2" t="s">
        <v>42</v>
      </c>
      <c r="E69" s="2" t="s">
        <v>25</v>
      </c>
      <c r="F69" s="2" t="s">
        <v>55</v>
      </c>
      <c r="G69" s="2">
        <v>3</v>
      </c>
      <c r="H69" s="2">
        <v>569.96</v>
      </c>
      <c r="I69" s="2">
        <v>0</v>
      </c>
      <c r="J69" s="2">
        <v>1709.88</v>
      </c>
      <c r="K69" s="2">
        <v>140.71</v>
      </c>
      <c r="L69" s="2" t="s">
        <v>34</v>
      </c>
      <c r="M69" s="2">
        <f t="shared" si="1"/>
        <v>1709.88</v>
      </c>
    </row>
    <row r="70" spans="1:13" x14ac:dyDescent="0.35">
      <c r="A70" s="2" t="s">
        <v>110</v>
      </c>
      <c r="B70" s="3">
        <v>45117</v>
      </c>
      <c r="C70" s="2" t="s">
        <v>59</v>
      </c>
      <c r="D70" s="2" t="s">
        <v>20</v>
      </c>
      <c r="E70" s="2" t="s">
        <v>21</v>
      </c>
      <c r="F70" s="2" t="s">
        <v>22</v>
      </c>
      <c r="G70" s="2">
        <v>1</v>
      </c>
      <c r="H70" s="2">
        <v>1538.3</v>
      </c>
      <c r="I70" s="2">
        <v>0.05</v>
      </c>
      <c r="J70" s="2">
        <v>1461.38</v>
      </c>
      <c r="K70" s="2">
        <v>203.92</v>
      </c>
      <c r="L70" s="2" t="s">
        <v>23</v>
      </c>
      <c r="M70" s="2">
        <f t="shared" si="1"/>
        <v>1538.3</v>
      </c>
    </row>
    <row r="71" spans="1:13" x14ac:dyDescent="0.35">
      <c r="A71" s="2" t="s">
        <v>111</v>
      </c>
      <c r="B71" s="3">
        <v>45144</v>
      </c>
      <c r="C71" s="2" t="s">
        <v>44</v>
      </c>
      <c r="D71" s="2" t="s">
        <v>14</v>
      </c>
      <c r="E71" s="2" t="s">
        <v>21</v>
      </c>
      <c r="F71" s="2" t="s">
        <v>48</v>
      </c>
      <c r="G71" s="2">
        <v>6</v>
      </c>
      <c r="H71" s="2">
        <v>1567.4</v>
      </c>
      <c r="I71" s="2">
        <v>0.1</v>
      </c>
      <c r="J71" s="2">
        <v>8463.99</v>
      </c>
      <c r="K71" s="2">
        <v>1074.45</v>
      </c>
      <c r="L71" s="2" t="s">
        <v>30</v>
      </c>
      <c r="M71" s="2">
        <f t="shared" si="1"/>
        <v>9404.4000000000015</v>
      </c>
    </row>
    <row r="72" spans="1:13" x14ac:dyDescent="0.35">
      <c r="A72" s="2" t="s">
        <v>112</v>
      </c>
      <c r="B72" s="3">
        <v>44970</v>
      </c>
      <c r="C72" s="2" t="s">
        <v>33</v>
      </c>
      <c r="D72" s="2" t="s">
        <v>20</v>
      </c>
      <c r="E72" s="2" t="s">
        <v>25</v>
      </c>
      <c r="F72" s="2" t="s">
        <v>52</v>
      </c>
      <c r="G72" s="2">
        <v>9</v>
      </c>
      <c r="H72" s="2">
        <v>1220.92</v>
      </c>
      <c r="I72" s="2">
        <v>0.2</v>
      </c>
      <c r="J72" s="2">
        <v>8790.6</v>
      </c>
      <c r="K72" s="2">
        <v>1802.75</v>
      </c>
      <c r="L72" s="2" t="s">
        <v>17</v>
      </c>
      <c r="M72" s="2">
        <f t="shared" si="1"/>
        <v>10988.28</v>
      </c>
    </row>
    <row r="73" spans="1:13" x14ac:dyDescent="0.35">
      <c r="A73" s="2" t="s">
        <v>113</v>
      </c>
      <c r="B73" s="3">
        <v>45088</v>
      </c>
      <c r="C73" s="2" t="s">
        <v>90</v>
      </c>
      <c r="D73" s="2" t="s">
        <v>20</v>
      </c>
      <c r="E73" s="2" t="s">
        <v>15</v>
      </c>
      <c r="F73" s="2" t="s">
        <v>40</v>
      </c>
      <c r="G73" s="2">
        <v>2</v>
      </c>
      <c r="H73" s="2">
        <v>766.12</v>
      </c>
      <c r="I73" s="2">
        <v>0.05</v>
      </c>
      <c r="J73" s="2">
        <v>1455.62</v>
      </c>
      <c r="K73" s="2">
        <v>304.45999999999998</v>
      </c>
      <c r="L73" s="2" t="s">
        <v>23</v>
      </c>
      <c r="M73" s="2">
        <f t="shared" si="1"/>
        <v>1532.24</v>
      </c>
    </row>
    <row r="74" spans="1:13" x14ac:dyDescent="0.35">
      <c r="A74" s="2" t="s">
        <v>114</v>
      </c>
      <c r="B74" s="3">
        <v>45128</v>
      </c>
      <c r="C74" s="2" t="s">
        <v>28</v>
      </c>
      <c r="D74" s="2" t="s">
        <v>20</v>
      </c>
      <c r="E74" s="2" t="s">
        <v>25</v>
      </c>
      <c r="F74" s="2" t="s">
        <v>52</v>
      </c>
      <c r="G74" s="2">
        <v>1</v>
      </c>
      <c r="H74" s="2">
        <v>1588.94</v>
      </c>
      <c r="I74" s="2">
        <v>0.15</v>
      </c>
      <c r="J74" s="2">
        <v>1350.6</v>
      </c>
      <c r="K74" s="2">
        <v>168.14</v>
      </c>
      <c r="L74" s="2" t="s">
        <v>34</v>
      </c>
      <c r="M74" s="2">
        <f t="shared" si="1"/>
        <v>1588.94</v>
      </c>
    </row>
    <row r="75" spans="1:13" x14ac:dyDescent="0.35">
      <c r="A75" s="2" t="s">
        <v>115</v>
      </c>
      <c r="B75" s="3">
        <v>45196</v>
      </c>
      <c r="C75" s="2" t="s">
        <v>36</v>
      </c>
      <c r="D75" s="2" t="s">
        <v>39</v>
      </c>
      <c r="E75" s="2" t="s">
        <v>25</v>
      </c>
      <c r="F75" s="2" t="s">
        <v>55</v>
      </c>
      <c r="G75" s="2">
        <v>4</v>
      </c>
      <c r="H75" s="2">
        <v>972.76</v>
      </c>
      <c r="I75" s="2">
        <v>0</v>
      </c>
      <c r="J75" s="2">
        <v>3891.04</v>
      </c>
      <c r="K75" s="2">
        <v>673.26</v>
      </c>
      <c r="L75" s="2" t="s">
        <v>34</v>
      </c>
      <c r="M75" s="2">
        <f t="shared" si="1"/>
        <v>3891.04</v>
      </c>
    </row>
    <row r="76" spans="1:13" x14ac:dyDescent="0.35">
      <c r="A76" s="2" t="s">
        <v>116</v>
      </c>
      <c r="B76" s="3">
        <v>45277</v>
      </c>
      <c r="C76" s="2" t="s">
        <v>90</v>
      </c>
      <c r="D76" s="2" t="s">
        <v>20</v>
      </c>
      <c r="E76" s="2" t="s">
        <v>21</v>
      </c>
      <c r="F76" s="2" t="s">
        <v>48</v>
      </c>
      <c r="G76" s="2">
        <v>5</v>
      </c>
      <c r="H76" s="2">
        <v>760.09</v>
      </c>
      <c r="I76" s="2">
        <v>0.1</v>
      </c>
      <c r="J76" s="2">
        <v>3420.38</v>
      </c>
      <c r="K76" s="2">
        <v>666.68</v>
      </c>
      <c r="L76" s="2" t="s">
        <v>34</v>
      </c>
      <c r="M76" s="2">
        <f t="shared" si="1"/>
        <v>3800.4500000000003</v>
      </c>
    </row>
    <row r="77" spans="1:13" x14ac:dyDescent="0.35">
      <c r="A77" s="2" t="s">
        <v>117</v>
      </c>
      <c r="B77" s="3">
        <v>45230</v>
      </c>
      <c r="C77" s="2" t="s">
        <v>59</v>
      </c>
      <c r="D77" s="2" t="s">
        <v>42</v>
      </c>
      <c r="E77" s="2" t="s">
        <v>15</v>
      </c>
      <c r="F77" s="2" t="s">
        <v>16</v>
      </c>
      <c r="G77" s="2">
        <v>6</v>
      </c>
      <c r="H77" s="2">
        <v>1425.57</v>
      </c>
      <c r="I77" s="2">
        <v>0.15</v>
      </c>
      <c r="J77" s="2">
        <v>7270.4</v>
      </c>
      <c r="K77" s="2">
        <v>694.11</v>
      </c>
      <c r="L77" s="2" t="s">
        <v>17</v>
      </c>
      <c r="M77" s="2">
        <f t="shared" si="1"/>
        <v>8553.42</v>
      </c>
    </row>
    <row r="78" spans="1:13" x14ac:dyDescent="0.35">
      <c r="A78" s="2" t="s">
        <v>118</v>
      </c>
      <c r="B78" s="3">
        <v>45197</v>
      </c>
      <c r="C78" s="2" t="s">
        <v>13</v>
      </c>
      <c r="D78" s="2" t="s">
        <v>14</v>
      </c>
      <c r="E78" s="2" t="s">
        <v>15</v>
      </c>
      <c r="F78" s="2" t="s">
        <v>16</v>
      </c>
      <c r="G78" s="2">
        <v>2</v>
      </c>
      <c r="H78" s="2">
        <v>1243.68</v>
      </c>
      <c r="I78" s="2">
        <v>0.1</v>
      </c>
      <c r="J78" s="2">
        <v>2238.62</v>
      </c>
      <c r="K78" s="2">
        <v>134.80000000000001</v>
      </c>
      <c r="L78" s="2" t="s">
        <v>30</v>
      </c>
      <c r="M78" s="2">
        <f t="shared" si="1"/>
        <v>2487.36</v>
      </c>
    </row>
    <row r="79" spans="1:13" x14ac:dyDescent="0.35">
      <c r="A79" s="2" t="s">
        <v>119</v>
      </c>
      <c r="B79" s="3">
        <v>45141</v>
      </c>
      <c r="C79" s="2" t="s">
        <v>28</v>
      </c>
      <c r="D79" s="2" t="s">
        <v>14</v>
      </c>
      <c r="E79" s="2" t="s">
        <v>21</v>
      </c>
      <c r="F79" s="2" t="s">
        <v>22</v>
      </c>
      <c r="G79" s="2">
        <v>6</v>
      </c>
      <c r="H79" s="2">
        <v>268.52999999999997</v>
      </c>
      <c r="I79" s="2">
        <v>0</v>
      </c>
      <c r="J79" s="2">
        <v>1611.21</v>
      </c>
      <c r="K79" s="2">
        <v>295.83</v>
      </c>
      <c r="L79" s="2" t="s">
        <v>23</v>
      </c>
      <c r="M79" s="2">
        <f t="shared" si="1"/>
        <v>1611.1799999999998</v>
      </c>
    </row>
    <row r="80" spans="1:13" x14ac:dyDescent="0.35">
      <c r="A80" s="2" t="s">
        <v>120</v>
      </c>
      <c r="B80" s="3">
        <v>45178</v>
      </c>
      <c r="C80" s="2" t="s">
        <v>59</v>
      </c>
      <c r="D80" s="2" t="s">
        <v>14</v>
      </c>
      <c r="E80" s="2" t="s">
        <v>25</v>
      </c>
      <c r="F80" s="2" t="s">
        <v>52</v>
      </c>
      <c r="G80" s="2">
        <v>9</v>
      </c>
      <c r="H80" s="2">
        <v>275.35000000000002</v>
      </c>
      <c r="I80" s="2">
        <v>0</v>
      </c>
      <c r="J80" s="2">
        <v>2478.17</v>
      </c>
      <c r="K80" s="2">
        <v>550.02</v>
      </c>
      <c r="L80" s="2" t="s">
        <v>17</v>
      </c>
      <c r="M80" s="2">
        <f t="shared" si="1"/>
        <v>2478.15</v>
      </c>
    </row>
    <row r="81" spans="1:13" x14ac:dyDescent="0.35">
      <c r="A81" s="2" t="s">
        <v>121</v>
      </c>
      <c r="B81" s="3">
        <v>45116</v>
      </c>
      <c r="C81" s="2" t="s">
        <v>90</v>
      </c>
      <c r="D81" s="2" t="s">
        <v>42</v>
      </c>
      <c r="E81" s="2" t="s">
        <v>15</v>
      </c>
      <c r="F81" s="2" t="s">
        <v>29</v>
      </c>
      <c r="G81" s="2">
        <v>1</v>
      </c>
      <c r="H81" s="2">
        <v>626.07000000000005</v>
      </c>
      <c r="I81" s="2">
        <v>0</v>
      </c>
      <c r="J81" s="2">
        <v>626.07000000000005</v>
      </c>
      <c r="K81" s="2">
        <v>44.53</v>
      </c>
      <c r="L81" s="2" t="s">
        <v>30</v>
      </c>
      <c r="M81" s="2">
        <f t="shared" si="1"/>
        <v>626.07000000000005</v>
      </c>
    </row>
    <row r="82" spans="1:13" x14ac:dyDescent="0.35">
      <c r="A82" s="2" t="s">
        <v>122</v>
      </c>
      <c r="B82" s="3">
        <v>45222</v>
      </c>
      <c r="C82" s="2" t="s">
        <v>59</v>
      </c>
      <c r="D82" s="2" t="s">
        <v>14</v>
      </c>
      <c r="E82" s="2" t="s">
        <v>15</v>
      </c>
      <c r="F82" s="2" t="s">
        <v>16</v>
      </c>
      <c r="G82" s="2">
        <v>8</v>
      </c>
      <c r="H82" s="2">
        <v>1020.59</v>
      </c>
      <c r="I82" s="2">
        <v>0.05</v>
      </c>
      <c r="J82" s="2">
        <v>7756.51</v>
      </c>
      <c r="K82" s="2">
        <v>1861.48</v>
      </c>
      <c r="L82" s="2" t="s">
        <v>34</v>
      </c>
      <c r="M82" s="2">
        <f t="shared" si="1"/>
        <v>8164.72</v>
      </c>
    </row>
    <row r="83" spans="1:13" x14ac:dyDescent="0.35">
      <c r="A83" s="2" t="s">
        <v>123</v>
      </c>
      <c r="B83" s="3">
        <v>45139</v>
      </c>
      <c r="C83" s="2" t="s">
        <v>33</v>
      </c>
      <c r="D83" s="2" t="s">
        <v>14</v>
      </c>
      <c r="E83" s="2" t="s">
        <v>21</v>
      </c>
      <c r="F83" s="2" t="s">
        <v>48</v>
      </c>
      <c r="G83" s="2">
        <v>8</v>
      </c>
      <c r="H83" s="2">
        <v>352.92</v>
      </c>
      <c r="I83" s="2">
        <v>0.1</v>
      </c>
      <c r="J83" s="2">
        <v>2541.04</v>
      </c>
      <c r="K83" s="2">
        <v>695.74</v>
      </c>
      <c r="L83" s="2" t="s">
        <v>23</v>
      </c>
      <c r="M83" s="2">
        <f t="shared" si="1"/>
        <v>2823.36</v>
      </c>
    </row>
    <row r="84" spans="1:13" x14ac:dyDescent="0.35">
      <c r="A84" s="2" t="s">
        <v>124</v>
      </c>
      <c r="B84" s="3">
        <v>45134</v>
      </c>
      <c r="C84" s="2" t="s">
        <v>38</v>
      </c>
      <c r="D84" s="2" t="s">
        <v>42</v>
      </c>
      <c r="E84" s="2" t="s">
        <v>15</v>
      </c>
      <c r="F84" s="2" t="s">
        <v>16</v>
      </c>
      <c r="G84" s="2">
        <v>9</v>
      </c>
      <c r="H84" s="2">
        <v>1501.07</v>
      </c>
      <c r="I84" s="2">
        <v>0.15</v>
      </c>
      <c r="J84" s="2">
        <v>11483.18</v>
      </c>
      <c r="K84" s="2">
        <v>631.78</v>
      </c>
      <c r="L84" s="2" t="s">
        <v>17</v>
      </c>
      <c r="M84" s="2">
        <f t="shared" si="1"/>
        <v>13509.63</v>
      </c>
    </row>
    <row r="85" spans="1:13" x14ac:dyDescent="0.35">
      <c r="A85" s="2" t="s">
        <v>125</v>
      </c>
      <c r="B85" s="3">
        <v>45163</v>
      </c>
      <c r="C85" s="2" t="s">
        <v>28</v>
      </c>
      <c r="D85" s="2" t="s">
        <v>20</v>
      </c>
      <c r="E85" s="2" t="s">
        <v>21</v>
      </c>
      <c r="F85" s="2" t="s">
        <v>48</v>
      </c>
      <c r="G85" s="2">
        <v>9</v>
      </c>
      <c r="H85" s="2">
        <v>1792</v>
      </c>
      <c r="I85" s="2">
        <v>0.15</v>
      </c>
      <c r="J85" s="2">
        <v>13708.81</v>
      </c>
      <c r="K85" s="2">
        <v>2309.83</v>
      </c>
      <c r="L85" s="2" t="s">
        <v>34</v>
      </c>
      <c r="M85" s="2">
        <f t="shared" si="1"/>
        <v>16128</v>
      </c>
    </row>
    <row r="86" spans="1:13" x14ac:dyDescent="0.35">
      <c r="A86" s="2" t="s">
        <v>126</v>
      </c>
      <c r="B86" s="3">
        <v>45264</v>
      </c>
      <c r="C86" s="2" t="s">
        <v>59</v>
      </c>
      <c r="D86" s="2" t="s">
        <v>42</v>
      </c>
      <c r="E86" s="2" t="s">
        <v>25</v>
      </c>
      <c r="F86" s="2" t="s">
        <v>52</v>
      </c>
      <c r="G86" s="2">
        <v>4</v>
      </c>
      <c r="H86" s="2">
        <v>1120.5</v>
      </c>
      <c r="I86" s="2">
        <v>0.05</v>
      </c>
      <c r="J86" s="2">
        <v>4257.91</v>
      </c>
      <c r="K86" s="2">
        <v>806.6</v>
      </c>
      <c r="L86" s="2" t="s">
        <v>30</v>
      </c>
      <c r="M86" s="2">
        <f t="shared" si="1"/>
        <v>4482</v>
      </c>
    </row>
    <row r="87" spans="1:13" x14ac:dyDescent="0.35">
      <c r="A87" s="2" t="s">
        <v>127</v>
      </c>
      <c r="B87" s="3">
        <v>44979</v>
      </c>
      <c r="C87" s="2" t="s">
        <v>33</v>
      </c>
      <c r="D87" s="2" t="s">
        <v>20</v>
      </c>
      <c r="E87" s="2" t="s">
        <v>15</v>
      </c>
      <c r="F87" s="2" t="s">
        <v>40</v>
      </c>
      <c r="G87" s="2">
        <v>9</v>
      </c>
      <c r="H87" s="2">
        <v>741.15</v>
      </c>
      <c r="I87" s="2">
        <v>0.15</v>
      </c>
      <c r="J87" s="2">
        <v>5669.79</v>
      </c>
      <c r="K87" s="2">
        <v>1199.04</v>
      </c>
      <c r="L87" s="2" t="s">
        <v>30</v>
      </c>
      <c r="M87" s="2">
        <f t="shared" si="1"/>
        <v>6670.3499999999995</v>
      </c>
    </row>
    <row r="88" spans="1:13" x14ac:dyDescent="0.35">
      <c r="A88" s="2" t="s">
        <v>128</v>
      </c>
      <c r="B88" s="3">
        <v>45206</v>
      </c>
      <c r="C88" s="2" t="s">
        <v>13</v>
      </c>
      <c r="D88" s="2" t="s">
        <v>14</v>
      </c>
      <c r="E88" s="2" t="s">
        <v>15</v>
      </c>
      <c r="F88" s="2" t="s">
        <v>29</v>
      </c>
      <c r="G88" s="2">
        <v>6</v>
      </c>
      <c r="H88" s="2">
        <v>1250.97</v>
      </c>
      <c r="I88" s="2">
        <v>0</v>
      </c>
      <c r="J88" s="2">
        <v>7505.83</v>
      </c>
      <c r="K88" s="2">
        <v>389.43</v>
      </c>
      <c r="L88" s="2" t="s">
        <v>23</v>
      </c>
      <c r="M88" s="2">
        <f t="shared" si="1"/>
        <v>7505.82</v>
      </c>
    </row>
    <row r="89" spans="1:13" x14ac:dyDescent="0.35">
      <c r="A89" s="2" t="s">
        <v>129</v>
      </c>
      <c r="B89" s="3">
        <v>45143</v>
      </c>
      <c r="C89" s="2" t="s">
        <v>59</v>
      </c>
      <c r="D89" s="2" t="s">
        <v>42</v>
      </c>
      <c r="E89" s="2" t="s">
        <v>15</v>
      </c>
      <c r="F89" s="2" t="s">
        <v>40</v>
      </c>
      <c r="G89" s="2">
        <v>8</v>
      </c>
      <c r="H89" s="2">
        <v>1803.85</v>
      </c>
      <c r="I89" s="2">
        <v>0.1</v>
      </c>
      <c r="J89" s="2">
        <v>12987.75</v>
      </c>
      <c r="K89" s="2">
        <v>2352.44</v>
      </c>
      <c r="L89" s="2" t="s">
        <v>30</v>
      </c>
      <c r="M89" s="2">
        <f t="shared" si="1"/>
        <v>14430.8</v>
      </c>
    </row>
    <row r="90" spans="1:13" x14ac:dyDescent="0.35">
      <c r="A90" s="2" t="s">
        <v>130</v>
      </c>
      <c r="B90" s="3">
        <v>45178</v>
      </c>
      <c r="C90" s="2" t="s">
        <v>51</v>
      </c>
      <c r="D90" s="2" t="s">
        <v>14</v>
      </c>
      <c r="E90" s="2" t="s">
        <v>15</v>
      </c>
      <c r="F90" s="2" t="s">
        <v>40</v>
      </c>
      <c r="G90" s="2">
        <v>2</v>
      </c>
      <c r="H90" s="2">
        <v>1194.4000000000001</v>
      </c>
      <c r="I90" s="2">
        <v>0.1</v>
      </c>
      <c r="J90" s="2">
        <v>2149.91</v>
      </c>
      <c r="K90" s="2">
        <v>572.69000000000005</v>
      </c>
      <c r="L90" s="2" t="s">
        <v>34</v>
      </c>
      <c r="M90" s="2">
        <f t="shared" si="1"/>
        <v>2388.8000000000002</v>
      </c>
    </row>
    <row r="91" spans="1:13" x14ac:dyDescent="0.35">
      <c r="A91" s="2" t="s">
        <v>131</v>
      </c>
      <c r="B91" s="3">
        <v>45114</v>
      </c>
      <c r="C91" s="2" t="s">
        <v>59</v>
      </c>
      <c r="D91" s="2" t="s">
        <v>14</v>
      </c>
      <c r="E91" s="2" t="s">
        <v>21</v>
      </c>
      <c r="F91" s="2" t="s">
        <v>48</v>
      </c>
      <c r="G91" s="2">
        <v>3</v>
      </c>
      <c r="H91" s="2">
        <v>1659.64</v>
      </c>
      <c r="I91" s="2">
        <v>0.05</v>
      </c>
      <c r="J91" s="2">
        <v>4729.96</v>
      </c>
      <c r="K91" s="2">
        <v>894.87</v>
      </c>
      <c r="L91" s="2" t="s">
        <v>17</v>
      </c>
      <c r="M91" s="2">
        <f t="shared" si="1"/>
        <v>4978.92</v>
      </c>
    </row>
    <row r="92" spans="1:13" x14ac:dyDescent="0.35">
      <c r="A92" s="2" t="s">
        <v>132</v>
      </c>
      <c r="B92" s="3">
        <v>44967</v>
      </c>
      <c r="C92" s="2" t="s">
        <v>44</v>
      </c>
      <c r="D92" s="2" t="s">
        <v>39</v>
      </c>
      <c r="E92" s="2" t="s">
        <v>25</v>
      </c>
      <c r="F92" s="2" t="s">
        <v>55</v>
      </c>
      <c r="G92" s="2">
        <v>6</v>
      </c>
      <c r="H92" s="2">
        <v>1939.19</v>
      </c>
      <c r="I92" s="2">
        <v>0.15</v>
      </c>
      <c r="J92" s="2">
        <v>9889.86</v>
      </c>
      <c r="K92" s="2">
        <v>1546.37</v>
      </c>
      <c r="L92" s="2" t="s">
        <v>34</v>
      </c>
      <c r="M92" s="2">
        <f t="shared" si="1"/>
        <v>11635.14</v>
      </c>
    </row>
    <row r="93" spans="1:13" x14ac:dyDescent="0.35">
      <c r="A93" s="2" t="s">
        <v>133</v>
      </c>
      <c r="B93" s="3">
        <v>45083</v>
      </c>
      <c r="C93" s="2" t="s">
        <v>90</v>
      </c>
      <c r="D93" s="2" t="s">
        <v>42</v>
      </c>
      <c r="E93" s="2" t="s">
        <v>15</v>
      </c>
      <c r="F93" s="2" t="s">
        <v>29</v>
      </c>
      <c r="G93" s="2">
        <v>6</v>
      </c>
      <c r="H93" s="2">
        <v>1204.3499999999999</v>
      </c>
      <c r="I93" s="2">
        <v>0.1</v>
      </c>
      <c r="J93" s="2">
        <v>6503.5</v>
      </c>
      <c r="K93" s="2">
        <v>1840.51</v>
      </c>
      <c r="L93" s="2" t="s">
        <v>23</v>
      </c>
      <c r="M93" s="2">
        <f t="shared" si="1"/>
        <v>7226.0999999999995</v>
      </c>
    </row>
    <row r="94" spans="1:13" x14ac:dyDescent="0.35">
      <c r="A94" s="2" t="s">
        <v>134</v>
      </c>
      <c r="B94" s="3">
        <v>44941</v>
      </c>
      <c r="C94" s="2" t="s">
        <v>59</v>
      </c>
      <c r="D94" s="2" t="s">
        <v>14</v>
      </c>
      <c r="E94" s="2" t="s">
        <v>21</v>
      </c>
      <c r="F94" s="2" t="s">
        <v>48</v>
      </c>
      <c r="G94" s="2">
        <v>5</v>
      </c>
      <c r="H94" s="2">
        <v>220.41</v>
      </c>
      <c r="I94" s="2">
        <v>0.15</v>
      </c>
      <c r="J94" s="2">
        <v>936.75</v>
      </c>
      <c r="K94" s="2">
        <v>94.08</v>
      </c>
      <c r="L94" s="2" t="s">
        <v>30</v>
      </c>
      <c r="M94" s="2">
        <f t="shared" si="1"/>
        <v>1102.05</v>
      </c>
    </row>
    <row r="95" spans="1:13" x14ac:dyDescent="0.35">
      <c r="A95" s="2" t="s">
        <v>135</v>
      </c>
      <c r="B95" s="3">
        <v>45227</v>
      </c>
      <c r="C95" s="2" t="s">
        <v>59</v>
      </c>
      <c r="D95" s="2" t="s">
        <v>14</v>
      </c>
      <c r="E95" s="2" t="s">
        <v>25</v>
      </c>
      <c r="F95" s="2" t="s">
        <v>26</v>
      </c>
      <c r="G95" s="2">
        <v>5</v>
      </c>
      <c r="H95" s="2">
        <v>105.15</v>
      </c>
      <c r="I95" s="2">
        <v>0</v>
      </c>
      <c r="J95" s="2">
        <v>525.75</v>
      </c>
      <c r="K95" s="2">
        <v>104.58</v>
      </c>
      <c r="L95" s="2" t="s">
        <v>17</v>
      </c>
      <c r="M95" s="2">
        <f t="shared" si="1"/>
        <v>525.75</v>
      </c>
    </row>
    <row r="96" spans="1:13" x14ac:dyDescent="0.35">
      <c r="A96" s="2" t="s">
        <v>136</v>
      </c>
      <c r="B96" s="3">
        <v>44991</v>
      </c>
      <c r="C96" s="2" t="s">
        <v>13</v>
      </c>
      <c r="D96" s="2" t="s">
        <v>39</v>
      </c>
      <c r="E96" s="2" t="s">
        <v>15</v>
      </c>
      <c r="F96" s="2" t="s">
        <v>40</v>
      </c>
      <c r="G96" s="2">
        <v>1</v>
      </c>
      <c r="H96" s="2">
        <v>1716.38</v>
      </c>
      <c r="I96" s="2">
        <v>0.15</v>
      </c>
      <c r="J96" s="2">
        <v>1458.92</v>
      </c>
      <c r="K96" s="2">
        <v>424.92</v>
      </c>
      <c r="L96" s="2" t="s">
        <v>17</v>
      </c>
      <c r="M96" s="2">
        <f t="shared" si="1"/>
        <v>1716.38</v>
      </c>
    </row>
    <row r="97" spans="1:13" x14ac:dyDescent="0.35">
      <c r="A97" s="2" t="s">
        <v>137</v>
      </c>
      <c r="B97" s="3">
        <v>45271</v>
      </c>
      <c r="C97" s="2" t="s">
        <v>59</v>
      </c>
      <c r="D97" s="2" t="s">
        <v>20</v>
      </c>
      <c r="E97" s="2" t="s">
        <v>25</v>
      </c>
      <c r="F97" s="2" t="s">
        <v>52</v>
      </c>
      <c r="G97" s="2">
        <v>3</v>
      </c>
      <c r="H97" s="2">
        <v>226.34</v>
      </c>
      <c r="I97" s="2">
        <v>0.15</v>
      </c>
      <c r="J97" s="2">
        <v>577.16999999999996</v>
      </c>
      <c r="K97" s="2">
        <v>150.33000000000001</v>
      </c>
      <c r="L97" s="2" t="s">
        <v>34</v>
      </c>
      <c r="M97" s="2">
        <f t="shared" si="1"/>
        <v>679.02</v>
      </c>
    </row>
    <row r="98" spans="1:13" x14ac:dyDescent="0.35">
      <c r="A98" s="2" t="s">
        <v>138</v>
      </c>
      <c r="B98" s="3">
        <v>45253</v>
      </c>
      <c r="C98" s="2" t="s">
        <v>28</v>
      </c>
      <c r="D98" s="2" t="s">
        <v>14</v>
      </c>
      <c r="E98" s="2" t="s">
        <v>25</v>
      </c>
      <c r="F98" s="2" t="s">
        <v>52</v>
      </c>
      <c r="G98" s="2">
        <v>3</v>
      </c>
      <c r="H98" s="2">
        <v>412.11</v>
      </c>
      <c r="I98" s="2">
        <v>0.2</v>
      </c>
      <c r="J98" s="2">
        <v>989.05</v>
      </c>
      <c r="K98" s="2">
        <v>107.73</v>
      </c>
      <c r="L98" s="2" t="s">
        <v>30</v>
      </c>
      <c r="M98" s="2">
        <f t="shared" si="1"/>
        <v>1236.33</v>
      </c>
    </row>
    <row r="99" spans="1:13" x14ac:dyDescent="0.35">
      <c r="A99" s="2" t="s">
        <v>139</v>
      </c>
      <c r="B99" s="3">
        <v>44935</v>
      </c>
      <c r="C99" s="2" t="s">
        <v>44</v>
      </c>
      <c r="D99" s="2" t="s">
        <v>20</v>
      </c>
      <c r="E99" s="2" t="s">
        <v>25</v>
      </c>
      <c r="F99" s="2" t="s">
        <v>55</v>
      </c>
      <c r="G99" s="2">
        <v>9</v>
      </c>
      <c r="H99" s="2">
        <v>1397.67</v>
      </c>
      <c r="I99" s="2">
        <v>0.1</v>
      </c>
      <c r="J99" s="2">
        <v>11321.09</v>
      </c>
      <c r="K99" s="2">
        <v>2332.4299999999998</v>
      </c>
      <c r="L99" s="2" t="s">
        <v>17</v>
      </c>
      <c r="M99" s="2">
        <f t="shared" si="1"/>
        <v>12579.03</v>
      </c>
    </row>
    <row r="100" spans="1:13" x14ac:dyDescent="0.35">
      <c r="A100" s="2" t="s">
        <v>140</v>
      </c>
      <c r="B100" s="3">
        <v>45270</v>
      </c>
      <c r="C100" s="2" t="s">
        <v>59</v>
      </c>
      <c r="D100" s="2" t="s">
        <v>39</v>
      </c>
      <c r="E100" s="2" t="s">
        <v>15</v>
      </c>
      <c r="F100" s="2" t="s">
        <v>29</v>
      </c>
      <c r="G100" s="2">
        <v>9</v>
      </c>
      <c r="H100" s="2">
        <v>775.19</v>
      </c>
      <c r="I100" s="2">
        <v>0.05</v>
      </c>
      <c r="J100" s="2">
        <v>6627.86</v>
      </c>
      <c r="K100" s="2">
        <v>1232.04</v>
      </c>
      <c r="L100" s="2" t="s">
        <v>17</v>
      </c>
      <c r="M100" s="2">
        <f t="shared" si="1"/>
        <v>6976.7100000000009</v>
      </c>
    </row>
    <row r="101" spans="1:13" x14ac:dyDescent="0.35">
      <c r="A101" s="2" t="s">
        <v>141</v>
      </c>
      <c r="B101" s="3">
        <v>45055</v>
      </c>
      <c r="C101" s="2" t="s">
        <v>36</v>
      </c>
      <c r="D101" s="2" t="s">
        <v>20</v>
      </c>
      <c r="E101" s="2" t="s">
        <v>15</v>
      </c>
      <c r="F101" s="2" t="s">
        <v>16</v>
      </c>
      <c r="G101" s="2">
        <v>6</v>
      </c>
      <c r="H101" s="2">
        <v>1885.68</v>
      </c>
      <c r="I101" s="2">
        <v>0.1</v>
      </c>
      <c r="J101" s="2">
        <v>10182.68</v>
      </c>
      <c r="K101" s="2">
        <v>1361.69</v>
      </c>
      <c r="L101" s="2" t="s">
        <v>17</v>
      </c>
      <c r="M101" s="2">
        <f t="shared" si="1"/>
        <v>11314.08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8638-2A88-46F3-80BA-4C319A6808AE}">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Sheet3</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Soumyadip Das</dc:creator>
  <cp:lastModifiedBy>Soumyadip Das</cp:lastModifiedBy>
  <dcterms:created xsi:type="dcterms:W3CDTF">2026-03-16T04:44:20Z</dcterms:created>
  <dcterms:modified xsi:type="dcterms:W3CDTF">2026-03-16T06:32:41Z</dcterms:modified>
</cp:coreProperties>
</file>