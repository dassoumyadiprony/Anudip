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8D9506D-08A5-4AC6-80B5-FA4DE0DCDB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I32" i="1"/>
  <c r="L29" i="1"/>
  <c r="I29" i="1"/>
  <c r="I20" i="1"/>
  <c r="L18" i="1"/>
  <c r="I18" i="1"/>
  <c r="L16" i="1"/>
  <c r="I16" i="1"/>
  <c r="H9" i="1"/>
  <c r="Q7" i="1"/>
  <c r="N7" i="1"/>
  <c r="K7" i="1"/>
  <c r="H7" i="1"/>
</calcChain>
</file>

<file path=xl/sharedStrings.xml><?xml version="1.0" encoding="utf-8"?>
<sst xmlns="http://schemas.openxmlformats.org/spreadsheetml/2006/main" count="90" uniqueCount="47">
  <si>
    <t>Student ID</t>
  </si>
  <si>
    <t>Name</t>
  </si>
  <si>
    <t>Maths</t>
  </si>
  <si>
    <t>Science</t>
  </si>
  <si>
    <t>English</t>
  </si>
  <si>
    <t>S101</t>
  </si>
  <si>
    <t>S102</t>
  </si>
  <si>
    <t>S103</t>
  </si>
  <si>
    <t>S104</t>
  </si>
  <si>
    <t>S105</t>
  </si>
  <si>
    <t>Asha</t>
  </si>
  <si>
    <t>Ravi</t>
  </si>
  <si>
    <t>Meena</t>
  </si>
  <si>
    <t>Arjun</t>
  </si>
  <si>
    <t>Kiran</t>
  </si>
  <si>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</si>
  <si>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</si>
  <si>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</si>
  <si>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</si>
  <si>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</si>
  <si>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</si>
  <si>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</si>
  <si>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</si>
  <si>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</si>
  <si>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</si>
  <si>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</si>
  <si>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</si>
  <si>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</si>
  <si>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</si>
  <si>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t>ID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</si>
  <si>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</si>
  <si>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</si>
  <si>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</si>
  <si>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</si>
  <si>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</si>
  <si>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</si>
  <si>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</si>
  <si>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</si>
  <si>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</si>
  <si>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</si>
  <si>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</si>
  <si>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</si>
  <si>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Neha</t>
  </si>
  <si>
    <t>Python</t>
  </si>
  <si>
    <t>C105</t>
  </si>
  <si>
    <t>Aman</t>
  </si>
  <si>
    <t>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</si>
</sst>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2"/>
  <sheetViews>
    <sheetView tabSelected="1" topLeftCell="A16" workbookViewId="0">
      <selection activeCell="I34" sqref="I34"/>
    </sheetView>
  </sheetViews>
  <sheetFormatPr defaultRowHeight="14.5" x14ac:dyDescent="0.35"/>
  <cols>
    <col min="1" max="1" width="13.1796875" customWidth="1"/>
    <col min="7" max="7" width="15.36328125" customWidth="1"/>
    <col min="8" max="8" width="10.36328125" customWidth="1"/>
    <col min="9" max="9" width="12.7265625" customWidth="1"/>
    <col min="10" max="10" width="11.36328125" customWidth="1"/>
    <col min="11" max="11" width="10.6328125" customWidth="1"/>
    <col min="13" max="13" width="9.6328125" customWidth="1"/>
    <col min="16" max="16" width="10.54296875" customWidth="1"/>
  </cols>
  <sheetData>
    <row r="2" spans="1:1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7" x14ac:dyDescent="0.35">
      <c r="A3" s="2" t="s">
        <v>5</v>
      </c>
      <c r="B3" s="2" t="s">
        <v>10</v>
      </c>
      <c r="C3" s="2">
        <v>78</v>
      </c>
      <c r="D3" s="2">
        <v>82</v>
      </c>
      <c r="E3" s="2">
        <v>74</v>
      </c>
    </row>
    <row r="4" spans="1:17" x14ac:dyDescent="0.35">
      <c r="A4" s="2" t="s">
        <v>6</v>
      </c>
      <c r="B4" s="2" t="s">
        <v>11</v>
      </c>
      <c r="C4" s="2">
        <v>65</v>
      </c>
      <c r="D4" s="2">
        <v>70</v>
      </c>
      <c r="E4" s="2">
        <v>68</v>
      </c>
    </row>
    <row r="5" spans="1:17" x14ac:dyDescent="0.35">
      <c r="A5" s="2" t="s">
        <v>7</v>
      </c>
      <c r="B5" s="2" t="s">
        <v>12</v>
      </c>
      <c r="C5" s="2">
        <v>88</v>
      </c>
      <c r="D5" s="2">
        <v>91</v>
      </c>
      <c r="E5" s="2">
        <v>85</v>
      </c>
    </row>
    <row r="6" spans="1:17" x14ac:dyDescent="0.35">
      <c r="A6" s="2" t="s">
        <v>8</v>
      </c>
      <c r="B6" s="2" t="s">
        <v>13</v>
      </c>
      <c r="C6" s="2">
        <v>72</v>
      </c>
      <c r="D6" s="2">
        <v>75</v>
      </c>
      <c r="E6" s="2">
        <v>70</v>
      </c>
      <c r="F6" s="3">
        <v>1</v>
      </c>
      <c r="G6" s="1" t="s">
        <v>0</v>
      </c>
      <c r="H6" s="1" t="s">
        <v>2</v>
      </c>
      <c r="I6" s="3">
        <v>2</v>
      </c>
      <c r="J6" s="1" t="s">
        <v>0</v>
      </c>
      <c r="K6" s="1" t="s">
        <v>3</v>
      </c>
      <c r="L6">
        <v>3</v>
      </c>
      <c r="M6" s="1" t="s">
        <v>0</v>
      </c>
      <c r="N6" s="1" t="s">
        <v>4</v>
      </c>
      <c r="O6">
        <v>4</v>
      </c>
      <c r="P6" s="1" t="s">
        <v>0</v>
      </c>
      <c r="Q6" s="1" t="s">
        <v>1</v>
      </c>
    </row>
    <row r="7" spans="1:17" x14ac:dyDescent="0.35">
      <c r="A7" s="2" t="s">
        <v>9</v>
      </c>
      <c r="B7" s="2" t="s">
        <v>14</v>
      </c>
      <c r="C7" s="2">
        <v>90</v>
      </c>
      <c r="D7" s="2">
        <v>93</v>
      </c>
      <c r="E7" s="2">
        <v>89</v>
      </c>
      <c r="G7" s="2" t="s">
        <v>7</v>
      </c>
      <c r="H7" s="2">
        <f>VLOOKUP(A5,A2:E7,3,0)</f>
        <v>88</v>
      </c>
      <c r="J7" s="2" t="s">
        <v>6</v>
      </c>
      <c r="K7" s="2">
        <f>VLOOKUP(A4,A2:E7,4,0)</f>
        <v>70</v>
      </c>
      <c r="M7" s="2" t="s">
        <v>9</v>
      </c>
      <c r="N7" s="2">
        <f>VLOOKUP(A7,A2:E7,5,0)</f>
        <v>89</v>
      </c>
      <c r="P7" s="2" t="s">
        <v>5</v>
      </c>
      <c r="Q7" s="2" t="str">
        <f>VLOOKUP(P7,A2:E7,2,0)</f>
        <v>Asha</v>
      </c>
    </row>
    <row r="8" spans="1:17" x14ac:dyDescent="0.35">
      <c r="F8">
        <v>5</v>
      </c>
      <c r="G8" s="1" t="s">
        <v>0</v>
      </c>
      <c r="H8" s="1" t="s">
        <v>3</v>
      </c>
    </row>
    <row r="9" spans="1:17" x14ac:dyDescent="0.35">
      <c r="G9" s="2" t="s">
        <v>8</v>
      </c>
      <c r="H9" s="2">
        <f>VLOOKUP(G9,A2:E7,4,0)</f>
        <v>75</v>
      </c>
    </row>
    <row r="13" spans="1:17" ht="17" customHeight="1" x14ac:dyDescent="0.35">
      <c r="A13" s="4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F13" s="8" t="s">
        <v>20</v>
      </c>
    </row>
    <row r="14" spans="1:17" ht="15.5" customHeight="1" x14ac:dyDescent="0.35">
      <c r="A14" s="7" t="s">
        <v>21</v>
      </c>
      <c r="B14" s="5" t="s">
        <v>22</v>
      </c>
      <c r="C14" s="5" t="s">
        <v>23</v>
      </c>
      <c r="D14" s="5" t="s">
        <v>24</v>
      </c>
      <c r="E14" s="5" t="s">
        <v>25</v>
      </c>
      <c r="F14" s="5" t="s">
        <v>26</v>
      </c>
    </row>
    <row r="15" spans="1:17" ht="15" customHeight="1" x14ac:dyDescent="0.35">
      <c r="A15" s="7" t="s">
        <v>27</v>
      </c>
      <c r="B15" s="5">
        <v>55000</v>
      </c>
      <c r="C15" s="5">
        <v>500</v>
      </c>
      <c r="D15" s="5">
        <v>1200</v>
      </c>
      <c r="E15" s="5">
        <v>9000</v>
      </c>
      <c r="F15" s="5">
        <v>7000</v>
      </c>
      <c r="G15" s="6">
        <v>1</v>
      </c>
      <c r="H15" s="4" t="s">
        <v>15</v>
      </c>
      <c r="I15" s="7" t="s">
        <v>27</v>
      </c>
      <c r="J15" s="6">
        <v>2</v>
      </c>
      <c r="K15" s="4" t="s">
        <v>15</v>
      </c>
      <c r="L15" s="7" t="s">
        <v>28</v>
      </c>
    </row>
    <row r="16" spans="1:17" x14ac:dyDescent="0.35">
      <c r="A16" s="7" t="s">
        <v>28</v>
      </c>
      <c r="B16" s="5">
        <v>25</v>
      </c>
      <c r="C16" s="5">
        <v>150</v>
      </c>
      <c r="D16" s="5">
        <v>80</v>
      </c>
      <c r="E16" s="5">
        <v>40</v>
      </c>
      <c r="F16" s="5">
        <v>35</v>
      </c>
      <c r="H16" s="8" t="s">
        <v>18</v>
      </c>
      <c r="I16" s="2">
        <f>HLOOKUP(D13,A13:F16,3,0)</f>
        <v>1200</v>
      </c>
      <c r="K16" s="8" t="s">
        <v>19</v>
      </c>
      <c r="L16" s="2">
        <f>HLOOKUP(E13,A13:F16,4,0)</f>
        <v>40</v>
      </c>
    </row>
    <row r="17" spans="1:12" ht="15.5" customHeight="1" x14ac:dyDescent="0.35">
      <c r="G17">
        <v>2</v>
      </c>
      <c r="H17" s="4" t="s">
        <v>15</v>
      </c>
      <c r="I17" s="7" t="s">
        <v>21</v>
      </c>
      <c r="J17">
        <v>4</v>
      </c>
      <c r="K17" s="4" t="s">
        <v>15</v>
      </c>
      <c r="L17" s="7" t="s">
        <v>27</v>
      </c>
    </row>
    <row r="18" spans="1:12" x14ac:dyDescent="0.35">
      <c r="H18" s="8" t="s">
        <v>16</v>
      </c>
      <c r="I18" s="2" t="str">
        <f>HLOOKUP(B13,A13:F16,2,0)</f>
        <v>Laptop</v>
      </c>
      <c r="K18" s="8" t="s">
        <v>19</v>
      </c>
      <c r="L18" s="2">
        <f>HLOOKUP(K18,A13:F16,3,0)</f>
        <v>9000</v>
      </c>
    </row>
    <row r="19" spans="1:12" x14ac:dyDescent="0.35">
      <c r="G19">
        <v>5</v>
      </c>
      <c r="H19" s="4" t="s">
        <v>15</v>
      </c>
      <c r="I19" s="7" t="s">
        <v>28</v>
      </c>
    </row>
    <row r="20" spans="1:12" x14ac:dyDescent="0.35">
      <c r="H20" s="8" t="s">
        <v>17</v>
      </c>
      <c r="I20" s="2">
        <f>HLOOKUP(H20,A13:F16,4,0)</f>
        <v>150</v>
      </c>
    </row>
    <row r="25" spans="1:12" x14ac:dyDescent="0.35">
      <c r="A25" s="4" t="s">
        <v>29</v>
      </c>
      <c r="B25" s="4" t="s">
        <v>1</v>
      </c>
      <c r="C25" s="4" t="s">
        <v>30</v>
      </c>
      <c r="D25" s="4" t="s">
        <v>31</v>
      </c>
    </row>
    <row r="26" spans="1:12" x14ac:dyDescent="0.35">
      <c r="A26" s="5" t="s">
        <v>32</v>
      </c>
      <c r="B26" s="5" t="s">
        <v>33</v>
      </c>
      <c r="C26" s="5" t="s">
        <v>34</v>
      </c>
      <c r="D26" s="5">
        <v>3000</v>
      </c>
    </row>
    <row r="27" spans="1:12" x14ac:dyDescent="0.35">
      <c r="A27" s="5" t="s">
        <v>35</v>
      </c>
      <c r="B27" s="5" t="s">
        <v>36</v>
      </c>
      <c r="C27" s="5" t="s">
        <v>37</v>
      </c>
      <c r="D27" s="5">
        <v>5000</v>
      </c>
    </row>
    <row r="28" spans="1:12" x14ac:dyDescent="0.35">
      <c r="A28" s="5" t="s">
        <v>38</v>
      </c>
      <c r="B28" s="5" t="s">
        <v>39</v>
      </c>
      <c r="C28" s="5" t="s">
        <v>40</v>
      </c>
      <c r="D28" s="5">
        <v>4000</v>
      </c>
      <c r="G28">
        <v>1</v>
      </c>
      <c r="H28" s="4" t="s">
        <v>29</v>
      </c>
      <c r="I28" s="4" t="s">
        <v>30</v>
      </c>
      <c r="J28">
        <v>2</v>
      </c>
      <c r="K28" s="4" t="s">
        <v>29</v>
      </c>
      <c r="L28" s="4" t="s">
        <v>31</v>
      </c>
    </row>
    <row r="29" spans="1:12" x14ac:dyDescent="0.35">
      <c r="A29" s="5" t="s">
        <v>41</v>
      </c>
      <c r="B29" s="5" t="s">
        <v>42</v>
      </c>
      <c r="C29" s="5" t="s">
        <v>43</v>
      </c>
      <c r="D29" s="5">
        <v>6000</v>
      </c>
      <c r="H29" s="5" t="s">
        <v>38</v>
      </c>
      <c r="I29" s="2" t="str">
        <f>VLOOKUP(A28,A25:D30,3,0)</f>
        <v>SQL</v>
      </c>
      <c r="K29" s="5" t="s">
        <v>41</v>
      </c>
      <c r="L29" s="2">
        <f>VLOOKUP(A29,A25:D30,4,0)</f>
        <v>6000</v>
      </c>
    </row>
    <row r="30" spans="1:12" x14ac:dyDescent="0.35">
      <c r="A30" s="5" t="s">
        <v>44</v>
      </c>
      <c r="B30" s="5" t="s">
        <v>45</v>
      </c>
      <c r="C30" s="5" t="s">
        <v>46</v>
      </c>
      <c r="D30" s="5">
        <v>4500</v>
      </c>
    </row>
    <row r="31" spans="1:12" x14ac:dyDescent="0.35">
      <c r="G31">
        <v>3</v>
      </c>
      <c r="H31" s="4" t="s">
        <v>29</v>
      </c>
      <c r="I31" s="4" t="s">
        <v>1</v>
      </c>
      <c r="J31">
        <v>4</v>
      </c>
      <c r="K31" s="4" t="s">
        <v>29</v>
      </c>
      <c r="L31" s="4" t="s">
        <v>31</v>
      </c>
    </row>
    <row r="32" spans="1:12" x14ac:dyDescent="0.35">
      <c r="H32" s="5" t="s">
        <v>32</v>
      </c>
      <c r="I32" s="2" t="str">
        <f>VLOOKUP(H32,A25:D30,2,0)</f>
        <v>Rohan</v>
      </c>
      <c r="K32" s="5" t="s">
        <v>44</v>
      </c>
      <c r="L32" s="2">
        <f>VLOOKUP(K32,A25:D30,4,0)</f>
        <v>4500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Soumyadip Das</cp:lastModifiedBy>
  <dcterms:created xsi:type="dcterms:W3CDTF">2026-03-11T13:29:44Z</dcterms:created>
  <dcterms:modified xsi:type="dcterms:W3CDTF">2026-03-11T14:50:10Z</dcterms:modified>
</cp:coreProperties>
</file>